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d330d145b54e6b" /></Relationships>
</file>

<file path=xl/workbook.xml><?xml version="1.0" encoding="utf-8"?>
<x:workbook xmlns:x="http://schemas.openxmlformats.org/spreadsheetml/2006/main">
  <x:sheets>
    <x:sheet xmlns:r="http://schemas.openxmlformats.org/officeDocument/2006/relationships" name="Dashboard" sheetId="1" r:id="Rd28d035dfe7d44cb"/>
    <x:sheet xmlns:r="http://schemas.openxmlformats.org/officeDocument/2006/relationships" name="Asset Manifest" sheetId="2" r:id="Rfbef4d8b648b41db"/>
    <x:sheet xmlns:r="http://schemas.openxmlformats.org/officeDocument/2006/relationships" name="Ambient Specs" sheetId="3" r:id="R54a41ebd376c4c4e"/>
    <x:sheet xmlns:r="http://schemas.openxmlformats.org/officeDocument/2006/relationships" name="Foley Capture" sheetId="4" r:id="Rf6068963a70d47d7"/>
    <x:sheet xmlns:r="http://schemas.openxmlformats.org/officeDocument/2006/relationships" name="Mix &amp; Buses" sheetId="5" r:id="R79439ec651944e4e"/>
    <x:sheet xmlns:r="http://schemas.openxmlformats.org/officeDocument/2006/relationships" name="Event Map" sheetId="6" r:id="Red1175e001154158"/>
    <x:sheet xmlns:r="http://schemas.openxmlformats.org/officeDocument/2006/relationships" name="Prompt Blocks" sheetId="7" r:id="R76c62a99baa34400"/>
    <x:sheet xmlns:r="http://schemas.openxmlformats.org/officeDocument/2006/relationships" name="Dropdowns" sheetId="8" r:id="Rc08e9988b60d481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
      <x:name val="Carlito"/>
    </x:font>
    <x:font>
      <x:b/>
      <x:sz val="11"/>
      <x:color rgb="1A1612"/>
      <x:name val="Carlito"/>
    </x:font>
    <x:font>
      <x:b/>
      <x:sz val="16"/>
      <x:color rgb="FFFFFF"/>
      <x:name val="Carlito"/>
    </x:font>
    <x:font>
      <x:i/>
      <x:sz val="11"/>
      <x:color rgb="2B2520"/>
      <x:name val="Carlito"/>
    </x:font>
    <x:font>
      <x:b/>
      <x:sz val="14"/>
      <x:color rgb="8A2018"/>
      <x:name val="Carlito"/>
    </x:font>
  </x:fonts>
  <x:fills count="11">
    <x:fill>
      <x:patternFill patternType="none"/>
    </x:fill>
    <x:fill>
      <x:patternFill patternType="gray125"/>
    </x:fill>
    <x:fill>
      <x:patternFill patternType="solid">
        <x:fgColor rgb="2C3540"/>
      </x:patternFill>
    </x:fill>
    <x:fill>
      <x:patternFill patternType="solid">
        <x:fgColor rgb="6B4A2C"/>
      </x:patternFill>
    </x:fill>
    <x:fill>
      <x:patternFill patternType="solid">
        <x:fgColor rgb="8A2018"/>
      </x:patternFill>
    </x:fill>
    <x:fill>
      <x:patternFill patternType="solid">
        <x:fgColor rgb="1A1612"/>
      </x:patternFill>
    </x:fill>
    <x:fill>
      <x:patternFill patternType="solid">
        <x:fgColor rgb="7A8C5E"/>
      </x:patternFill>
    </x:fill>
    <x:fill>
      <x:patternFill patternType="solid">
        <x:fgColor rgb="C79A3A"/>
      </x:patternFill>
    </x:fill>
    <x:fill>
      <x:patternFill patternType="solid">
        <x:fgColor rgb="5B6770"/>
      </x:patternFill>
    </x:fill>
    <x:fill>
      <x:patternFill patternType="solid">
        <x:fgColor rgb="F6F1E0"/>
      </x:patternFill>
    </x:fill>
    <x:fill>
      <x:patternFill patternType="solid">
        <x:fgColor rgb="E8DFC9"/>
      </x:patternFill>
    </x:fill>
  </x:fills>
  <x:borders count="2">
    <x:border/>
    <x:border/>
  </x:borders>
  <x:cellStyleXfs count="1">
    <x:xf numFmtId="0" fontId="0" fillId="0" borderId="0"/>
  </x:cellStyleXfs>
  <x:cellXfs count="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0" fillId="7" borderId="1" xfId="0" applyNumberFormat="1" applyFont="1" applyFill="1" applyBorder="1"/>
    <x:xf numFmtId="0" fontId="2" fillId="7" borderId="1" xfId="0" applyNumberFormat="1" applyFont="1" applyFill="1" applyBorder="1"/>
    <x:xf numFmtId="0" fontId="2" fillId="7" borderId="1" xfId="0" applyNumberFormat="1" applyFont="1" applyFill="1" applyBorder="1" applyAlignment="1">
      <x:alignment wrapText="1"/>
    </x:xf>
    <x:xf numFmtId="0" fontId="2" fillId="7" borderId="1" xfId="0" applyNumberFormat="1" applyFont="1" applyFill="1" applyBorder="1" applyAlignment="1">
      <x:alignment horizontal="center" wrapText="1"/>
    </x:xf>
    <x:xf numFmtId="0" fontId="0" fillId="8" borderId="0" xfId="0" applyNumberFormat="1" applyFont="1" applyFill="1" applyBorder="1"/>
    <x:xf numFmtId="0" fontId="1" fillId="8" borderId="0" xfId="0" applyNumberFormat="1" applyFont="1" applyFill="1" applyBorder="1"/>
    <x:xf numFmtId="0" fontId="0" fillId="8" borderId="1" xfId="0" applyNumberFormat="1" applyFont="1" applyFill="1" applyBorder="1"/>
    <x:xf numFmtId="0" fontId="1" fillId="8" borderId="1"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0" fillId="9" borderId="0" xfId="0" applyNumberFormat="1" applyFont="1" applyFill="1" applyBorder="1"/>
    <x:xf numFmtId="0" fontId="4" fillId="9" borderId="0" xfId="0" applyNumberFormat="1" applyFont="1" applyFill="1" applyBorder="1"/>
    <x:xf numFmtId="0" fontId="0" fillId="9" borderId="1" xfId="0" applyNumberFormat="1" applyFont="1" applyFill="1" applyBorder="1"/>
    <x:xf numFmtId="0" fontId="4" fillId="9" borderId="1" xfId="0" applyNumberFormat="1" applyFont="1" applyFill="1" applyBorder="1"/>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10" borderId="0" xfId="0" applyNumberFormat="1" applyFont="1" applyFill="1" applyBorder="1" applyAlignment="1">
      <x:alignment vertical="center" wrapText="1"/>
    </x:xf>
    <x:xf numFmtId="0" fontId="2" fillId="10" borderId="0" xfId="0" applyNumberFormat="1" applyFont="1" applyFill="1" applyBorder="1" applyAlignment="1">
      <x:alignment vertical="center" wrapText="1"/>
    </x:xf>
    <x:xf numFmtId="0" fontId="0" fillId="10" borderId="1" xfId="0" applyNumberFormat="1" applyFont="1" applyFill="1" applyBorder="1" applyAlignment="1">
      <x:alignment vertical="center" wrapText="1"/>
    </x:xf>
    <x:xf numFmtId="0" fontId="2" fillId="10" borderId="1"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0" borderId="0" xfId="0" applyNumberFormat="1" applyFont="1" applyFill="1" applyBorder="1" applyAlignment="1">
      <x:alignment horizontal="center" vertical="center" wrapText="1"/>
    </x:xf>
    <x:xf numFmtId="0" fontId="5" fillId="0" borderId="1" xfId="0" applyNumberFormat="1" applyFont="1" applyFill="1" applyBorder="1" applyAlignment="1">
      <x:alignment vertical="center" wrapText="1"/>
    </x:xf>
    <x:xf numFmtId="0" fontId="5" fillId="0" borderId="1" xfId="0" applyNumberFormat="1" applyFont="1" applyFill="1" applyBorder="1" applyAlignment="1">
      <x:alignment horizontal="center" vertical="center" wrapText="1"/>
    </x:xf>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dxfs count="3">
    <x:dxf>
      <x:font>
        <x:b/>
        <x:color rgb="8A2018"/>
      </x:font>
      <x:fill>
        <x:patternFill patternType="solid">
          <x:bgColor rgb="FEE2E2"/>
        </x:patternFill>
      </x:fill>
    </x:dxf>
    <x:dxf>
      <x:font>
        <x:b/>
        <x:color rgb="8A2018"/>
      </x:font>
      <x:fill>
        <x:patternFill patternType="solid">
          <x:bgColor rgb="FEE2E2"/>
        </x:patternFill>
      </x:fill>
    </x:dxf>
    <x:dxf>
      <x:font>
        <x:b/>
        <x:color rgb="166534"/>
      </x:font>
      <x:fill>
        <x:patternFill patternType="solid">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954fc997714ccb" /><Relationship Type="http://schemas.openxmlformats.org/officeDocument/2006/relationships/theme" Target="/xl/theme/theme1.xml" Id="Rc602588d41bd4b09" /><Relationship Type="http://schemas.openxmlformats.org/officeDocument/2006/relationships/sharedStrings" Target="/xl/sharedStrings.xml" Id="Rd9595fcf3f0640cc" /><Relationship Type="http://schemas.openxmlformats.org/officeDocument/2006/relationships/worksheet" Target="/xl/worksheets/sheet1.xml" Id="Rd28d035dfe7d44cb" /><Relationship Type="http://schemas.openxmlformats.org/officeDocument/2006/relationships/worksheet" Target="/xl/worksheets/sheet2.xml" Id="Rfbef4d8b648b41db" /><Relationship Type="http://schemas.openxmlformats.org/officeDocument/2006/relationships/worksheet" Target="/xl/worksheets/sheet3.xml" Id="R54a41ebd376c4c4e" /><Relationship Type="http://schemas.openxmlformats.org/officeDocument/2006/relationships/worksheet" Target="/xl/worksheets/sheet4.xml" Id="Rf6068963a70d47d7" /><Relationship Type="http://schemas.openxmlformats.org/officeDocument/2006/relationships/worksheet" Target="/xl/worksheets/sheet5.xml" Id="R79439ec651944e4e" /><Relationship Type="http://schemas.openxmlformats.org/officeDocument/2006/relationships/worksheet" Target="/xl/worksheets/sheet6.xml" Id="Red1175e001154158" /><Relationship Type="http://schemas.openxmlformats.org/officeDocument/2006/relationships/worksheet" Target="/xl/worksheets/sheet7.xml" Id="R76c62a99baa34400" /><Relationship Type="http://schemas.openxmlformats.org/officeDocument/2006/relationships/worksheet" Target="/xl/worksheets/sheet8.xml" Id="Rc08e9988b60d4819" /></Relationships>
</file>

<file path=xl/drawings/_rels/drawing1.xml.rels>&#65279;<?xml version="1.0" encoding="utf-8"?><Relationships xmlns="http://schemas.openxmlformats.org/package/2006/relationships"><Relationship Type="http://schemas.openxmlformats.org/officeDocument/2006/relationships/chart" Target="/xl/drawings/charts/chart1.xml" Id="R0b01b2ed66054d48"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Count</c:v>
          </c:tx>
          <c:cat>
            <c:strRef>
              <c:f>'Dashboard'!$H$5:$H$15</c:f>
              <c:strCache>
                <c:ptCount val="0"/>
              </c:strCache>
            </c:strRef>
          </c:cat>
          <c:val>
            <c:numRef>
              <c:f>'Dashboard'!$I$5:$I$15</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15</xdr:row>
      <xdr:rowOff>0</xdr:rowOff>
    </xdr:from>
    <xdr:to>
      <xdr:col>13</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01b2ed66054d48"/>
        </a:graphicData>
      </a:graphic>
    </xdr:graphicFrame>
    <xdr:clientData/>
  </xdr:twoCellAnchor>
</xdr:wsDr>
</file>

<file path=xl/tables/table1.xml><?xml version="1.0" encoding="utf-8"?>
<x:table xmlns:x="http://schemas.openxmlformats.org/spreadsheetml/2006/main" id="1" name="AudioAssetManifest" displayName="AudioAssetManifest" ref="A1:R100" headerRowCount="1">
  <x:tableColumns count="18">
    <x:tableColumn id="1" name="Asset ID"/>
    <x:tableColumn id="2" name="Act(s)"/>
    <x:tableColumn id="3" name="Domain"/>
    <x:tableColumn id="4" name="Category"/>
    <x:tableColumn id="5" name="Cue / Asset"/>
    <x:tableColumn id="6" name="Variants"/>
    <x:tableColumn id="7" name="Target Length"/>
    <x:tableColumn id="8" name="Loop?"/>
    <x:tableColumn id="9" name="Priority"/>
    <x:tableColumn id="10" name="Method"/>
    <x:tableColumn id="11" name="Recommended Tool"/>
    <x:tableColumn id="12" name="Godot Bus"/>
    <x:tableColumn id="13" name="Trigger / Event"/>
    <x:tableColumn id="14" name="Prompt or Capture Direction"/>
    <x:tableColumn id="15" name="Implementation Notes"/>
    <x:tableColumn id="16" name="Status"/>
    <x:tableColumn id="17" name="Owner"/>
    <x:tableColumn id="18" name="Batch Order"/>
  </x:tableColumns>
  <x:tableStyleInfo name="TableStyleMedium2" showRowStripes="1"/>
</x:table>
</file>

<file path=xl/tables/table2.xml><?xml version="1.0" encoding="utf-8"?>
<x:table xmlns:x="http://schemas.openxmlformats.org/spreadsheetml/2006/main" id="2" name="AmbientLoopSpecs" displayName="AmbientLoopSpecs" ref="A1:H6" headerRowCount="1">
  <x:tableColumns count="8">
    <x:tableColumn id="1" name="Loop ID"/>
    <x:tableColumn id="2" name="Scene"/>
    <x:tableColumn id="3" name="Length"/>
    <x:tableColumn id="4" name="Core Layers"/>
    <x:tableColumn id="5" name="Stem Strategy"/>
    <x:tableColumn id="6" name="Looping/Mix Notes"/>
    <x:tableColumn id="7" name="Start Events"/>
    <x:tableColumn id="8" name="Exit/Transition"/>
  </x:tableColumns>
  <x:tableStyleInfo name="TableStyleMedium2" showRowStripes="1"/>
</x:table>
</file>

<file path=xl/tables/table3.xml><?xml version="1.0" encoding="utf-8"?>
<x:table xmlns:x="http://schemas.openxmlformats.org/spreadsheetml/2006/main" id="3" name="FoleyCaptureQueue" displayName="FoleyCaptureQueue" ref="A1:H13" headerRowCount="1">
  <x:tableColumns count="8">
    <x:tableColumn id="1" name="Capture ID"/>
    <x:tableColumn id="2" name="Priority"/>
    <x:tableColumn id="3" name="Asset IDs Covered"/>
    <x:tableColumn id="4" name="Props / Setup"/>
    <x:tableColumn id="5" name="Mic Perspective"/>
    <x:tableColumn id="6" name="Take Plan"/>
    <x:tableColumn id="7" name="Editing Notes"/>
    <x:tableColumn id="8" name="Why It Matters"/>
  </x:tableColumns>
  <x:tableStyleInfo name="TableStyleMedium2" showRowStripes="1"/>
</x:table>
</file>

<file path=xl/tables/table4.xml><?xml version="1.0" encoding="utf-8"?>
<x:table xmlns:x="http://schemas.openxmlformats.org/spreadsheetml/2006/main" id="4" name="MixBusPlan" displayName="MixBusPlan" ref="A1:F12" headerRowCount="1">
  <x:tableColumns count="6">
    <x:tableColumn id="1" name="Bus"/>
    <x:tableColumn id="2" name="Purpose"/>
    <x:tableColumn id="3" name="Default Level"/>
    <x:tableColumn id="4" name="Processing"/>
    <x:tableColumn id="5" name="Ducking / Automation"/>
    <x:tableColumn id="6" name="Notes"/>
  </x:tableColumns>
  <x:tableStyleInfo name="TableStyleMedium2" showRowStripes="1"/>
</x:table>
</file>

<file path=xl/tables/table5.xml><?xml version="1.0" encoding="utf-8"?>
<x:table xmlns:x="http://schemas.openxmlformats.org/spreadsheetml/2006/main" id="5" name="AudioEventMap" displayName="AudioEventMap" ref="A1:F21" headerRowCount="1">
  <x:tableColumns count="6">
    <x:tableColumn id="1" name="Game Event / State"/>
    <x:tableColumn id="2" name="Primary Cue(s)"/>
    <x:tableColumn id="3" name="Secondary / Layered Cue(s)"/>
    <x:tableColumn id="4" name="Bus"/>
    <x:tableColumn id="5" name="Duck / Filter"/>
    <x:tableColumn id="6" name="Implementation Note"/>
  </x:tableColumns>
  <x:tableStyleInfo name="TableStyleMedium2" showRowStripes="1"/>
</x:table>
</file>

<file path=xl/tables/table6.xml><?xml version="1.0" encoding="utf-8"?>
<x:table xmlns:x="http://schemas.openxmlformats.org/spreadsheetml/2006/main" id="6" name="PromptBlocks" displayName="PromptBlocks" ref="A1:E7" headerRowCount="1">
  <x:tableColumns count="5">
    <x:tableColumn id="1" name="Batch"/>
    <x:tableColumn id="2" name="Goal"/>
    <x:tableColumn id="3" name="Assets"/>
    <x:tableColumn id="4" name="Prompting / Production Instruction"/>
    <x:tableColumn id="5" name="Acceptance Chec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40042eeafde46bd" /></Relationships>
</file>

<file path=xl/worksheets/_rels/sheet2.xml.rels>&#65279;<?xml version="1.0" encoding="utf-8"?><Relationships xmlns="http://schemas.openxmlformats.org/package/2006/relationships"><Relationship Type="http://schemas.openxmlformats.org/officeDocument/2006/relationships/table" Target="/xl/tables/table1.xml" Id="R7941c7f4e4a7404d" /></Relationships>
</file>

<file path=xl/worksheets/_rels/sheet3.xml.rels>&#65279;<?xml version="1.0" encoding="utf-8"?><Relationships xmlns="http://schemas.openxmlformats.org/package/2006/relationships"><Relationship Type="http://schemas.openxmlformats.org/officeDocument/2006/relationships/table" Target="/xl/tables/table2.xml" Id="Rbcd8ab0d310149b3" /></Relationships>
</file>

<file path=xl/worksheets/_rels/sheet4.xml.rels>&#65279;<?xml version="1.0" encoding="utf-8"?><Relationships xmlns="http://schemas.openxmlformats.org/package/2006/relationships"><Relationship Type="http://schemas.openxmlformats.org/officeDocument/2006/relationships/table" Target="/xl/tables/table3.xml" Id="Rf9485656dd564d1a" /></Relationships>
</file>

<file path=xl/worksheets/_rels/sheet5.xml.rels>&#65279;<?xml version="1.0" encoding="utf-8"?><Relationships xmlns="http://schemas.openxmlformats.org/package/2006/relationships"><Relationship Type="http://schemas.openxmlformats.org/officeDocument/2006/relationships/table" Target="/xl/tables/table4.xml" Id="R01100304dc054a17" /></Relationships>
</file>

<file path=xl/worksheets/_rels/sheet6.xml.rels>&#65279;<?xml version="1.0" encoding="utf-8"?><Relationships xmlns="http://schemas.openxmlformats.org/package/2006/relationships"><Relationship Type="http://schemas.openxmlformats.org/officeDocument/2006/relationships/table" Target="/xl/tables/table5.xml" Id="R16e237197b194662" /></Relationships>
</file>

<file path=xl/worksheets/_rels/sheet7.xml.rels>&#65279;<?xml version="1.0" encoding="utf-8"?><Relationships xmlns="http://schemas.openxmlformats.org/package/2006/relationships"><Relationship Type="http://schemas.openxmlformats.org/officeDocument/2006/relationships/table" Target="/xl/tables/table6.xml" Id="Ra677249c069a4bc0" /></Relationships>
</file>

<file path=xl/worksheets/sheet1.xml><?xml version="1.0" encoding="utf-8"?>
<x:worksheet xmlns:x="http://schemas.openxmlformats.org/spreadsheetml/2006/main">
  <x:sheetFormatPr defaultRowHeight="15"/>
  <x:cols>
    <x:col min="1" max="1" width="8" hidden="0" customWidth="1"/>
    <x:col min="2" max="2" width="28" hidden="0" customWidth="1"/>
    <x:col min="3" max="3" width="42" hidden="0" customWidth="1"/>
    <x:col min="4" max="4" width="30" hidden="0" customWidth="1"/>
    <x:col min="5" max="5" width="42" hidden="0" customWidth="1"/>
    <x:col min="6" max="6" width="18" hidden="0" customWidth="1"/>
    <x:col min="8" max="8" width="16" hidden="0" customWidth="1"/>
    <x:col min="9" max="9" width="16" hidden="0" customWidth="1"/>
  </x:cols>
  <x:sheetData>
    <x:row r="1">
      <x:c r="A1" s="62" t="str">
        <x:v>Tincture of Mercy — Ambient &amp; Foley Production Dashboard</x:v>
      </x:c>
      <x:c r="B1" s="62"/>
      <x:c r="C1" s="62"/>
      <x:c r="D1" s="62"/>
      <x:c r="E1" s="62"/>
      <x:c r="F1" s="62"/>
      <x:c r="G1" s="62"/>
      <x:c r="H1" s="62"/>
    </x:row>
    <x:row r="2">
      <x:c r="A2" s="67" t="str">
        <x:v>Generated production pack · 2026-05-11 · Source: user sound design brief + uploaded concept packet</x:v>
      </x:c>
      <x:c r="B2" s="67" t="str"/>
      <x:c r="C2" s="67" t="str"/>
      <x:c r="D2" s="67" t="str"/>
      <x:c r="E2" s="67" t="str"/>
      <x:c r="F2" s="67" t="str"/>
      <x:c r="G2" s="67" t="str"/>
      <x:c r="H2" s="67" t="str"/>
    </x:row>
    <x:row r="4">
      <x:c r="A4" s="73" t="str">
        <x:v>Total assets</x:v>
      </x:c>
      <x:c r="B4" s="77" t="n">
        <x:f>COUNTA('Asset Manifest'!A2:A200)</x:f>
        <x:v>99</x:v>
      </x:c>
      <x:c r="C4" s="73" t="str">
        <x:v>P0 assets</x:v>
      </x:c>
      <x:c r="D4" s="77" t="n">
        <x:f>COUNTIF('Asset Manifest'!I2:I200,"P0")</x:f>
        <x:v>71</x:v>
      </x:c>
      <x:c r="H4" s="41" t="str">
        <x:v>Domain</x:v>
      </x:c>
      <x:c r="I4" s="41" t="str">
        <x:v>Count</x:v>
      </x:c>
    </x:row>
    <x:row r="5">
      <x:c r="A5" s="73" t="str">
        <x:v>Looping assets</x:v>
      </x:c>
      <x:c r="B5" s="77" t="n">
        <x:f>COUNTIF('Asset Manifest'!H2:H200,"Yes")</x:f>
        <x:v>11</x:v>
      </x:c>
      <x:c r="C5" s="73" t="str">
        <x:v>Real foley / capture</x:v>
      </x:c>
      <x:c r="D5" s="77" t="n">
        <x:f>COUNTIF('Asset Manifest'!J2:J200,"Record real foley")+COUNTIF('Asset Manifest'!J2:J200,"Record + layer")+COUNTIF('Asset Manifest'!J2:J200,"Record variations")+COUNTIF('Asset Manifest'!J2:J200,"Record foley")+COUNTIF('Asset Manifest'!J2:J200,"Record/generate")+COUNTIF('Asset Manifest'!J2:J200,"Record or generate")+COUNTIF('Asset Manifest'!J2:J200,"Generate or record")+COUNTIF('Asset Manifest'!J2:J200,"Foley + layer")+COUNTIF('Asset Manifest'!J2:J200,"Foley + library")+COUNTIF('Asset Manifest'!J2:J200,"Foley + generate")</x:f>
        <x:v>64</x:v>
      </x:c>
      <x:c r="H5" s="12" t="str">
        <x:v>Ambient</x:v>
      </x:c>
      <x:c r="I5" s="12" t="n">
        <x:f>COUNTIF('Asset Manifest'!C2:C200,"Ambient")</x:f>
        <x:v>6</x:v>
      </x:c>
    </x:row>
    <x:row r="6">
      <x:c r="A6" s="73" t="str">
        <x:v>Generate/library assets</x:v>
      </x:c>
      <x:c r="B6" s="77" t="n">
        <x:f>COUNTIF('Asset Manifest'!J2:J200,"Generate + mix stems")+COUNTIF('Asset Manifest'!J2:J200,"Generate + layer")+COUNTIF('Asset Manifest'!J2:J200,"Generate or record")+COUNTIF('Asset Manifest'!J2:J200,"Hybrid generate+foley")+COUNTIF('Asset Manifest'!J2:J200,"Source library")+COUNTIF('Asset Manifest'!J2:J200,"Source/generate")+COUNTIF('Asset Manifest'!J2:J200,"Source/record + DAW")+COUNTIF('Asset Manifest'!J2:J200,"Source/library + mix")+COUNTIF('Asset Manifest'!J2:J200,"Use existing care assets")</x:f>
        <x:v>26</x:v>
      </x:c>
      <x:c r="C6" s="73" t="str">
        <x:v>Automation cues</x:v>
      </x:c>
      <x:c r="D6" s="77" t="n">
        <x:f>COUNTIF('Asset Manifest'!J2:J200,"Mix automation")</x:f>
        <x:v>3</x:v>
      </x:c>
      <x:c r="H6" s="12" t="str">
        <x:v>Body</x:v>
      </x:c>
      <x:c r="I6" s="12" t="n">
        <x:f>COUNTIF('Asset Manifest'!C2:C200,"Body")</x:f>
        <x:v>11</x:v>
      </x:c>
    </x:row>
    <x:row r="7">
      <x:c r="A7" s="73" t="str">
        <x:v>Verified assets</x:v>
      </x:c>
      <x:c r="B7" s="77" t="n">
        <x:f>COUNTIF('Asset Manifest'!P2:P200,"Verified")</x:f>
        <x:v>0</x:v>
      </x:c>
      <x:c r="C7" s="73" t="str">
        <x:v>Needs redo</x:v>
      </x:c>
      <x:c r="D7" s="77" t="n">
        <x:f>COUNTIF('Asset Manifest'!P2:P200,"Needs redo")</x:f>
        <x:v>0</x:v>
      </x:c>
      <x:c r="H7" s="12" t="str">
        <x:v>Foley</x:v>
      </x:c>
      <x:c r="I7" s="12" t="n">
        <x:f>COUNTIF('Asset Manifest'!C2:C200,"Foley")</x:f>
        <x:v>35</x:v>
      </x:c>
    </x:row>
    <x:row r="8">
      <x:c r="H8" s="12" t="str">
        <x:v>UI/Foley</x:v>
      </x:c>
      <x:c r="I8" s="12" t="n">
        <x:f>COUNTIF('Asset Manifest'!C2:C200,"UI/Foley")</x:f>
        <x:v>12</x:v>
      </x:c>
    </x:row>
    <x:row r="9">
      <x:c r="A9" s="80" t="str">
        <x:v>Recommended Production Order</x:v>
      </x:c>
      <x:c r="B9" s="80" t="str"/>
      <x:c r="C9" s="80" t="str"/>
      <x:c r="D9" s="80" t="str"/>
      <x:c r="E9" s="80" t="str"/>
      <x:c r="F9" s="80" t="str"/>
      <x:c r="H9" s="12" t="str">
        <x:v>Creature</x:v>
      </x:c>
      <x:c r="I9" s="12" t="n">
        <x:f>COUNTIF('Asset Manifest'!C2:C200,"Creature")</x:f>
        <x:v>15</x:v>
      </x:c>
    </x:row>
    <x:row r="10">
      <x:c r="A10" s="82" t="str">
        <x:v>Step</x:v>
      </x:c>
      <x:c r="B10" s="82" t="str">
        <x:v>Focus</x:v>
      </x:c>
      <x:c r="C10" s="82" t="str">
        <x:v>Why first</x:v>
      </x:c>
      <x:c r="D10" s="82" t="str">
        <x:v>Sheets to use</x:v>
      </x:c>
      <x:c r="E10" s="82" t="str">
        <x:v>Pass/Fail check</x:v>
      </x:c>
      <x:c r="F10" s="82" t="str">
        <x:v>Owner</x:v>
      </x:c>
      <x:c r="H10" s="12" t="str">
        <x:v>Combat</x:v>
      </x:c>
      <x:c r="I10" s="12" t="n">
        <x:f>COUNTIF('Asset Manifest'!C2:C200,"Combat")</x:f>
        <x:v>9</x:v>
      </x:c>
    </x:row>
    <x:row r="11" ht="58" customHeight="1">
      <x:c r="A11" s="13" t="n">
        <x:v>1</x:v>
      </x:c>
      <x:c r="B11" s="13" t="str">
        <x:v>Ambient foundations</x:v>
      </x:c>
      <x:c r="C11" s="13" t="str">
        <x:v>The world needs its quiet baseline before foreground cues are judged.</x:v>
      </x:c>
      <x:c r="D11" s="13" t="str">
        <x:v>Ambient Specs + Prompt Blocks</x:v>
      </x:c>
      <x:c r="E11" s="13" t="str">
        <x:v>No music/voices/stings; loops work.</x:v>
      </x:c>
      <x:c r="F11" s="13" t="str"/>
      <x:c r="H11" s="12" t="str">
        <x:v>Special</x:v>
      </x:c>
      <x:c r="I11" s="12" t="n">
        <x:f>COUNTIF('Asset Manifest'!C2:C200,"Special")</x:f>
        <x:v>4</x:v>
      </x:c>
    </x:row>
    <x:row r="12" ht="58" customHeight="1">
      <x:c r="A12" s="13" t="n">
        <x:v>2</x:v>
      </x:c>
      <x:c r="B12" s="13" t="str">
        <x:v>Real foley foundations</x:v>
      </x:c>
      <x:c r="C12" s="13" t="str">
        <x:v>Footsteps, breath, notebook, care, bread, and cloth are heard constantly.</x:v>
      </x:c>
      <x:c r="D12" s="13" t="str">
        <x:v>Foley Capture + Asset Manifest</x:v>
      </x:c>
      <x:c r="E12" s="13" t="str">
        <x:v>Random playback does not fatigue.</x:v>
      </x:c>
      <x:c r="F12" s="13" t="str"/>
      <x:c r="H12" s="12" t="str">
        <x:v>State</x:v>
      </x:c>
      <x:c r="I12" s="12" t="n">
        <x:f>COUNTIF('Asset Manifest'!C2:C200,"State")</x:f>
        <x:v>3</x:v>
      </x:c>
    </x:row>
    <x:row r="13" ht="58" customHeight="1">
      <x:c r="A13" s="13" t="n">
        <x:v>3</x:v>
      </x:c>
      <x:c r="B13" s="13" t="str">
        <x:v>Crafting/UI diegetic palette</x:v>
      </x:c>
      <x:c r="C13" s="13" t="str">
        <x:v>Act 3 needs both tactile material and clear UI response.</x:v>
      </x:c>
      <x:c r="D13" s="13" t="str">
        <x:v>Asset Manifest + Event Map</x:v>
      </x:c>
      <x:c r="E13" s="13" t="str">
        <x:v>Select/confirm/commit are distinct.</x:v>
      </x:c>
      <x:c r="F13" s="13" t="str"/>
      <x:c r="H13" s="12" t="str">
        <x:v>Animal</x:v>
      </x:c>
      <x:c r="I13" s="12" t="n">
        <x:f>COUNTIF('Asset Manifest'!C2:C200,"Animal")</x:f>
        <x:v>1</x:v>
      </x:c>
    </x:row>
    <x:row r="14" ht="58" customHeight="1">
      <x:c r="A14" s="13" t="n">
        <x:v>4</x:v>
      </x:c>
      <x:c r="B14" s="13" t="str">
        <x:v>Act 4 death mix</x:v>
      </x:c>
      <x:c r="C14" s="13" t="str">
        <x:v>This must be authored around absence and restraint.</x:v>
      </x:c>
      <x:c r="D14" s="13" t="str">
        <x:v>Event Map + Mix &amp; Buses</x:v>
      </x:c>
      <x:c r="E14" s="13" t="str">
        <x:v>Breath stops; hearth and clock remain.</x:v>
      </x:c>
      <x:c r="F14" s="13" t="str"/>
      <x:c r="H14" s="12" t="str">
        <x:v>Voice</x:v>
      </x:c>
      <x:c r="I14" s="12" t="n">
        <x:f>COUNTIF('Asset Manifest'!C2:C200,"Voice")</x:f>
        <x:v>1</x:v>
      </x:c>
    </x:row>
    <x:row r="15" ht="58" customHeight="1">
      <x:c r="A15" s="13" t="n">
        <x:v>5</x:v>
      </x:c>
      <x:c r="B15" s="13" t="str">
        <x:v>Wolves/combat</x:v>
      </x:c>
      <x:c r="C15" s="13" t="str">
        <x:v>Combat must be dangerous, physical, and event-driven.</x:v>
      </x:c>
      <x:c r="D15" s="13" t="str">
        <x:v>Asset Manifest + Event Map</x:v>
      </x:c>
      <x:c r="E15" s="13" t="str">
        <x:v>Player hears threat shift and boy route.</x:v>
      </x:c>
      <x:c r="F15" s="13" t="str"/>
      <x:c r="H15" s="12" t="str">
        <x:v>UI</x:v>
      </x:c>
      <x:c r="I15" s="12" t="n">
        <x:f>COUNTIF('Asset Manifest'!C2:C200,"UI")</x:f>
        <x:v>2</x:v>
      </x:c>
    </x:row>
    <x:row r="16" ht="58" customHeight="1">
      <x:c r="A16" s="13" t="n">
        <x:v>6</x:v>
      </x:c>
      <x:c r="B16" s="13" t="str">
        <x:v>State automation polish</x:v>
      </x:c>
      <x:c r="C16" s="13" t="str">
        <x:v>Burden/Pressure/Numbness should be felt, not announced.</x:v>
      </x:c>
      <x:c r="D16" s="13" t="str">
        <x:v>Mix &amp; Buses + Event Map</x:v>
      </x:c>
      <x:c r="E16" s="13" t="str">
        <x:v>State transitions are subtle and legible.</x:v>
      </x:c>
      <x:c r="F16" s="13" t="str"/>
    </x:row>
  </x:sheetData>
  <x:mergeCells>
    <x:mergeCell ref="A1:H1"/>
    <x:mergeCell ref="A2:H2"/>
    <x:mergeCell ref="A9:F9"/>
  </x:mergeCells>
  <x:pageMargins left="0.7" right="0.7" top="0.75" bottom="0.75" header="0.3" footer="0.3"/>
  <x:drawing xmlns:r="http://schemas.openxmlformats.org/officeDocument/2006/relationships" r:id="R940042eeafde46bd"/>
</x:worksheet>
</file>

<file path=xl/worksheets/sheet2.xml><?xml version="1.0" encoding="utf-8"?>
<x:worksheet xmlns:x="http://schemas.openxmlformats.org/spreadsheetml/2006/main">
  <x:sheetFormatPr defaultRowHeight="15"/>
  <x:cols>
    <x:col min="1" max="1" width="22" hidden="0" customWidth="1"/>
    <x:col min="2" max="2" width="10" hidden="0" customWidth="1"/>
    <x:col min="3" max="3" width="14" hidden="0" customWidth="1"/>
    <x:col min="4" max="4" width="18" hidden="0" customWidth="1"/>
    <x:col min="5" max="5" width="28" hidden="0" customWidth="1"/>
    <x:col min="6" max="6" width="10" hidden="0" customWidth="1"/>
    <x:col min="7" max="7" width="14" hidden="0" customWidth="1"/>
    <x:col min="8" max="8" width="8" hidden="0" customWidth="1"/>
    <x:col min="9" max="9" width="10" hidden="0" customWidth="1"/>
    <x:col min="10" max="10" width="20" hidden="0" customWidth="1"/>
    <x:col min="11" max="11" width="24" hidden="0" customWidth="1"/>
    <x:col min="12" max="12" width="18" hidden="0" customWidth="1"/>
    <x:col min="13" max="13" width="30" hidden="0" customWidth="1"/>
    <x:col min="14" max="14" width="64" hidden="0" customWidth="1"/>
    <x:col min="15" max="15" width="42" hidden="0" customWidth="1"/>
    <x:col min="16" max="16" width="15" hidden="0" customWidth="1"/>
    <x:col min="17" max="17" width="14" hidden="0" customWidth="1"/>
    <x:col min="18" max="18" width="10" hidden="0" customWidth="1"/>
  </x:cols>
  <x:sheetData>
    <x:row r="1" ht="36" customHeight="1">
      <x:c r="A1" s="6" t="str">
        <x:v>Asset ID</x:v>
      </x:c>
      <x:c r="B1" s="6" t="str">
        <x:v>Act(s)</x:v>
      </x:c>
      <x:c r="C1" s="6" t="str">
        <x:v>Domain</x:v>
      </x:c>
      <x:c r="D1" s="6" t="str">
        <x:v>Category</x:v>
      </x:c>
      <x:c r="E1" s="6" t="str">
        <x:v>Cue / Asset</x:v>
      </x:c>
      <x:c r="F1" s="6" t="str">
        <x:v>Variants</x:v>
      </x:c>
      <x:c r="G1" s="6" t="str">
        <x:v>Target Length</x:v>
      </x:c>
      <x:c r="H1" s="6" t="str">
        <x:v>Loop?</x:v>
      </x:c>
      <x:c r="I1" s="6" t="str">
        <x:v>Priority</x:v>
      </x:c>
      <x:c r="J1" s="6" t="str">
        <x:v>Method</x:v>
      </x:c>
      <x:c r="K1" s="6" t="str">
        <x:v>Recommended Tool</x:v>
      </x:c>
      <x:c r="L1" s="6" t="str">
        <x:v>Godot Bus</x:v>
      </x:c>
      <x:c r="M1" s="6" t="str">
        <x:v>Trigger / Event</x:v>
      </x:c>
      <x:c r="N1" s="6" t="str">
        <x:v>Prompt or Capture Direction</x:v>
      </x:c>
      <x:c r="O1" s="6" t="str">
        <x:v>Implementation Notes</x:v>
      </x:c>
      <x:c r="P1" s="6" t="str">
        <x:v>Status</x:v>
      </x:c>
      <x:c r="Q1" s="6" t="str">
        <x:v>Owner</x:v>
      </x:c>
      <x:c r="R1" s="6" t="str">
        <x:v>Batch Order</x:v>
      </x:c>
    </x:row>
    <x:row r="2" ht="64" customHeight="1">
      <x:c r="A2" s="13" t="str">
        <x:v>AMB_INT_DAY_LOOP</x:v>
      </x:c>
      <x:c r="B2" s="13" t="str">
        <x:v>1-3</x:v>
      </x:c>
      <x:c r="C2" s="13" t="str">
        <x:v>Ambient</x:v>
      </x:c>
      <x:c r="D2" s="13" t="str">
        <x:v>Cabin Interior</x:v>
      </x:c>
      <x:c r="E2" s="13" t="str">
        <x:v>Cabin Interior — Day</x:v>
      </x:c>
      <x:c r="F2" s="13" t="n">
        <x:v>1</x:v>
      </x:c>
      <x:c r="G2" s="13" t="str">
        <x:v>3:00 seamless</x:v>
      </x:c>
      <x:c r="H2" s="13" t="str">
        <x:v>Yes</x:v>
      </x:c>
      <x:c r="I2" s="13" t="str">
        <x:v>P0</x:v>
      </x:c>
      <x:c r="J2" s="13" t="str">
        <x:v>Generate + mix stems</x:v>
      </x:c>
      <x:c r="K2" s="13" t="str">
        <x:v>Suno/Udio or ElevenLabs + DAW</x:v>
      </x:c>
      <x:c r="L2" s="13" t="str">
        <x:v>AMB_Interior</x:v>
      </x:c>
      <x:c r="M2" s="13" t="str">
        <x:v>scene.cabin.day.enter</x:v>
      </x:c>
      <x:c r="N2" s="13" t="str">
        <x:v>Ambient sound bed three minute seamless loop, interior of small wooden cabin in rural Michigan late autumn afternoon, gentle hearth fire crackling continuously with occasional small pop of embers, intermittent wooden beam creaking from thermal contraction every twenty to forty seconds in deep low frequency, distant wind against window shutters occasional, soft mechanical wall clock ticking at sixty beats per minute somewhere off in another room, very subtle building drone below conscious hearing, occasional distant chickadee or nuthatch through windows, occasional far-off crow at greater distance, no music no instruments no human voices, no dramatic stings, naturalistic field recording quality, slightly thin high frequencies suggesting cold air, mono-to-stereo natural ambient</x:v>
      </x:c>
      <x:c r="O2" s="13" t="str">
        <x:v>Render as full bed plus optional stems: hearth, clock, wind, wood creaks, birds, building drone. Keep loop points checked at barless/random intervals.</x:v>
      </x:c>
      <x:c r="P2" s="13" t="str">
        <x:v>Not started</x:v>
      </x:c>
      <x:c r="Q2" s="13" t="str"/>
      <x:c r="R2" s="13" t="n">
        <x:v>1</x:v>
      </x:c>
    </x:row>
    <x:row r="3" ht="64" customHeight="1">
      <x:c r="A3" s="13" t="str">
        <x:v>AMB_INT_DUSK_LOOP</x:v>
      </x:c>
      <x:c r="B3" s="13" t="str">
        <x:v>4-5</x:v>
      </x:c>
      <x:c r="C3" s="13" t="str">
        <x:v>Ambient</x:v>
      </x:c>
      <x:c r="D3" s="13" t="str">
        <x:v>Cabin Interior</x:v>
      </x:c>
      <x:c r="E3" s="13" t="str">
        <x:v>Cabin Interior — Dusk/Evening</x:v>
      </x:c>
      <x:c r="F3" s="13" t="n">
        <x:v>1</x:v>
      </x:c>
      <x:c r="G3" s="13" t="str">
        <x:v>3:00 seamless</x:v>
      </x:c>
      <x:c r="H3" s="13" t="str">
        <x:v>Yes</x:v>
      </x:c>
      <x:c r="I3" s="13" t="str">
        <x:v>P0</x:v>
      </x:c>
      <x:c r="J3" s="13" t="str">
        <x:v>Generate + mix stems</x:v>
      </x:c>
      <x:c r="K3" s="13" t="str">
        <x:v>Suno/Udio or ElevenLabs + DAW</x:v>
      </x:c>
      <x:c r="L3" s="13" t="str">
        <x:v>AMB_Interior</x:v>
      </x:c>
      <x:c r="M3" s="13" t="str">
        <x:v>scene.cabin.dusk.enter</x:v>
      </x:c>
      <x:c r="N3" s="13" t="str">
        <x:v>Ambient sound bed three minute seamless loop, interior of small wooden cabin in rural Michigan late autumn early evening as light fails, hearth fire crackling more prominently now as primary light source, wooden beam creaking more frequently every fifteen to thirty seconds from temperature drop, wind picking up against window shutters with occasional whistle, soft mechanical wall clock ticking at sixty BPM more audible in the deepening quiet, the cabin settling sound very subtle low-frequency thermal contraction pops, no birds, no music no instruments no human voices, no dramatic stings, naturalistic field recording quality, slightly thinner high frequencies than day version, mono-to-stereo natural ambient, dusk mood</x:v>
      </x:c>
      <x:c r="O3" s="13" t="str">
        <x:v>Crossfade from day bed during Act 4. Clock should survive Anna death moment; do not add emotional sting.</x:v>
      </x:c>
      <x:c r="P3" s="13" t="str">
        <x:v>Not started</x:v>
      </x:c>
      <x:c r="Q3" s="13" t="str"/>
      <x:c r="R3" s="13" t="n">
        <x:v>2</x:v>
      </x:c>
    </x:row>
    <x:row r="4" ht="64" customHeight="1">
      <x:c r="A4" s="13" t="str">
        <x:v>AMB_EXT_YARD_DAY_LOOP</x:v>
      </x:c>
      <x:c r="B4" s="13" t="str">
        <x:v>1-2</x:v>
      </x:c>
      <x:c r="C4" s="13" t="str">
        <x:v>Ambient</x:v>
      </x:c>
      <x:c r="D4" s="13" t="str">
        <x:v>Outdoor Yard</x:v>
      </x:c>
      <x:c r="E4" s="13" t="str">
        <x:v>Outdoor — Cabin Yard, Daytime</x:v>
      </x:c>
      <x:c r="F4" s="13" t="n">
        <x:v>1</x:v>
      </x:c>
      <x:c r="G4" s="13" t="str">
        <x:v>2:30 seamless</x:v>
      </x:c>
      <x:c r="H4" s="13" t="str">
        <x:v>Yes</x:v>
      </x:c>
      <x:c r="I4" s="13" t="str">
        <x:v>P0</x:v>
      </x:c>
      <x:c r="J4" s="13" t="str">
        <x:v>Generate + mix stems</x:v>
      </x:c>
      <x:c r="K4" s="13" t="str">
        <x:v>Suno/Udio or ElevenLabs + DAW</x:v>
      </x:c>
      <x:c r="L4" s="13" t="str">
        <x:v>AMB_Exterior</x:v>
      </x:c>
      <x:c r="M4" s="13" t="str">
        <x:v>scene.yard.day.enter</x:v>
      </x:c>
      <x:c r="N4" s="13" t="str">
        <x:v>Ambient outdoor sound bed two minutes thirty seconds seamless loop, rural Michigan cabin yard surrounded by hemlock and bare hardwood forest in late autumn afternoon, gentle wind through bare and half-bare hardwood trees, occasional larger branch creak, scattered birdsong from chickadees nuthatches with one distant crow, faint metallic creak of an old well pump catching the wind, dry leaves rustling in small drifts on the ground occasionally, very occasional far-off woodpecker drumming twice in the loop, no music no instruments no human voices, naturalistic field recording quality, cold air thin high frequencies, peaceful but slightly desolate, mid-distance perspective as if standing in a yard</x:v>
      </x:c>
      <x:c r="O4" s="13" t="str">
        <x:v>Use as base under water-fetch sequence. Pump creak should be subtle in bed; separate pump SFX handles interaction.</x:v>
      </x:c>
      <x:c r="P4" s="13" t="str">
        <x:v>Not started</x:v>
      </x:c>
      <x:c r="Q4" s="13" t="str"/>
      <x:c r="R4" s="13" t="n">
        <x:v>3</x:v>
      </x:c>
    </x:row>
    <x:row r="5" ht="64" customHeight="1">
      <x:c r="A5" s="13" t="str">
        <x:v>AMB_EXT_YARD_DUSK_LOOP</x:v>
      </x:c>
      <x:c r="B5" s="13" t="str">
        <x:v>4-5</x:v>
      </x:c>
      <x:c r="C5" s="13" t="str">
        <x:v>Ambient</x:v>
      </x:c>
      <x:c r="D5" s="13" t="str">
        <x:v>Outdoor Yard</x:v>
      </x:c>
      <x:c r="E5" s="13" t="str">
        <x:v>Outdoor — Cabin Yard, Dusk</x:v>
      </x:c>
      <x:c r="F5" s="13" t="n">
        <x:v>1</x:v>
      </x:c>
      <x:c r="G5" s="13" t="str">
        <x:v>2:30 seamless</x:v>
      </x:c>
      <x:c r="H5" s="13" t="str">
        <x:v>Yes</x:v>
      </x:c>
      <x:c r="I5" s="13" t="str">
        <x:v>P0</x:v>
      </x:c>
      <x:c r="J5" s="13" t="str">
        <x:v>Generate + mix stems</x:v>
      </x:c>
      <x:c r="K5" s="13" t="str">
        <x:v>Suno/Udio or ElevenLabs + DAW</x:v>
      </x:c>
      <x:c r="L5" s="13" t="str">
        <x:v>AMB_Exterior</x:v>
      </x:c>
      <x:c r="M5" s="13" t="str">
        <x:v>scene.yard.dusk.enter</x:v>
      </x:c>
      <x:c r="N5" s="13" t="str">
        <x:v>Ambient outdoor sound bed two minutes thirty seconds seamless loop, rural Michigan cabin yard at dusk in late autumn, wind through bare hardwood and hemlock trees stronger than daytime, distant owl single hoot every thirty to sixty seconds, dry leaves rustling occasionally less than daytime, single distant coyote or wolf call far off somewhere in the loop, one dry branch falling and hitting forest floor mid-loop, faint metallic creak of old well pump in wind, no music no human voices no dramatic stings, naturalistic field recording quality, very cold air thin high frequencies, foreboding but not yet alarming, mid-distance perspective</x:v>
      </x:c>
      <x:c r="O5" s="13" t="str">
        <x:v>Use after wolf retreat; duck wolf-call layer during actual combat so arrival howls remain distinct.</x:v>
      </x:c>
      <x:c r="P5" s="13" t="str">
        <x:v>Not started</x:v>
      </x:c>
      <x:c r="Q5" s="13" t="str"/>
      <x:c r="R5" s="13" t="n">
        <x:v>4</x:v>
      </x:c>
    </x:row>
    <x:row r="6" ht="64" customHeight="1">
      <x:c r="A6" s="13" t="str">
        <x:v>AMB_FOREST_EDGE_LOOP</x:v>
      </x:c>
      <x:c r="B6" s="13" t="str">
        <x:v>2</x:v>
      </x:c>
      <x:c r="C6" s="13" t="str">
        <x:v>Ambient</x:v>
      </x:c>
      <x:c r="D6" s="13" t="str">
        <x:v>Forest Edge</x:v>
      </x:c>
      <x:c r="E6" s="13" t="str">
        <x:v>Forest Edge — Foraging</x:v>
      </x:c>
      <x:c r="F6" s="13" t="n">
        <x:v>1</x:v>
      </x:c>
      <x:c r="G6" s="13" t="str">
        <x:v>2:30 seamless</x:v>
      </x:c>
      <x:c r="H6" s="13" t="str">
        <x:v>Yes</x:v>
      </x:c>
      <x:c r="I6" s="13" t="str">
        <x:v>P1</x:v>
      </x:c>
      <x:c r="J6" s="13" t="str">
        <x:v>Generate + mix stems</x:v>
      </x:c>
      <x:c r="K6" s="13" t="str">
        <x:v>Suno/Udio or ElevenLabs + DAW</x:v>
      </x:c>
      <x:c r="L6" s="13" t="str">
        <x:v>AMB_Exterior</x:v>
      </x:c>
      <x:c r="M6" s="13" t="str">
        <x:v>scene.forest_edge.enter</x:v>
      </x:c>
      <x:c r="N6" s="13" t="str">
        <x:v>Ambient outdoor sound bed two minutes thirty seconds seamless loop, edge of mixed hardwood and hemlock forest in rural Michigan late autumn, wind close through bare branches with substantial leaf rustle on forest floor, chickadee and nuthatch nearby actively foraging, occasional small mammal rustling leaves a squirrel running on a branch, very faint distant creek water somewhere off, dry branches scraping each other in wind, no music no human voices, naturalistic field recording close perspective as if standing at forest edge, cold air, peaceful, foraging mood</x:v>
      </x:c>
      <x:c r="O6" s="13" t="str">
        <x:v>Keep non-threatening. This establishes calm world texture before wolves break silence.</x:v>
      </x:c>
      <x:c r="P6" s="13" t="str">
        <x:v>Not started</x:v>
      </x:c>
      <x:c r="Q6" s="13" t="str"/>
      <x:c r="R6" s="13" t="n">
        <x:v>5</x:v>
      </x:c>
    </x:row>
    <x:row r="7" ht="64" customHeight="1">
      <x:c r="A7" s="13" t="str">
        <x:v>FOOT_KALEV_WOOD_WALK</x:v>
      </x:c>
      <x:c r="B7" s="13" t="str">
        <x:v>1-5</x:v>
      </x:c>
      <x:c r="C7" s="13" t="str">
        <x:v>Body</x:v>
      </x:c>
      <x:c r="D7" s="13" t="str">
        <x:v>Footsteps</x:v>
      </x:c>
      <x:c r="E7" s="13" t="str">
        <x:v>Kalev walk — aged pine floor</x:v>
      </x:c>
      <x:c r="F7" s="13" t="n">
        <x:v>6</x:v>
      </x:c>
      <x:c r="G7" s="13" t="str">
        <x:v>0.25-0.5s each</x:v>
      </x:c>
      <x:c r="H7" s="13" t="str">
        <x:v>No</x:v>
      </x:c>
      <x:c r="I7" s="13" t="str">
        <x:v>P0</x:v>
      </x:c>
      <x:c r="J7" s="13" t="str">
        <x:v>Record real foley</x:v>
      </x:c>
      <x:c r="K7" s="13" t="str">
        <x:v>USB mic + Reaper/Audition</x:v>
      </x:c>
      <x:c r="L7" s="13" t="str">
        <x:v>SFX_Body</x:v>
      </x:c>
      <x:c r="M7" s="13" t="str">
        <x:v>body.footstep.surface.wood.walk</x:v>
      </x:c>
      <x:c r="N7" s="13" t="str">
        <x:v>Soft-soled leather boot on aged dry pine wood floor, slight floorboard creak with step, dry not wet, mid-weight adult man, close mic, isolated single step.</x:v>
      </x:c>
      <x:c r="O7" s="13" t="str">
        <x:v>Capture 8 takes; choose 4-6. Randomize pitch ±3 cents and volume ±1 dB in engine.</x:v>
      </x:c>
      <x:c r="P7" s="13" t="str">
        <x:v>Not started</x:v>
      </x:c>
      <x:c r="Q7" s="13" t="str"/>
      <x:c r="R7" s="13" t="n">
        <x:v>6</x:v>
      </x:c>
    </x:row>
    <x:row r="8" ht="64" customHeight="1">
      <x:c r="A8" s="13" t="str">
        <x:v>FOOT_KALEV_DIRT_WALK</x:v>
      </x:c>
      <x:c r="B8" s="13" t="str">
        <x:v>1-5</x:v>
      </x:c>
      <x:c r="C8" s="13" t="str">
        <x:v>Body</x:v>
      </x:c>
      <x:c r="D8" s="13" t="str">
        <x:v>Footsteps</x:v>
      </x:c>
      <x:c r="E8" s="13" t="str">
        <x:v>Kalev walk — packed dirt yard</x:v>
      </x:c>
      <x:c r="F8" s="13" t="n">
        <x:v>6</x:v>
      </x:c>
      <x:c r="G8" s="13" t="str">
        <x:v>0.25-0.5s each</x:v>
      </x:c>
      <x:c r="H8" s="13" t="str">
        <x:v>No</x:v>
      </x:c>
      <x:c r="I8" s="13" t="str">
        <x:v>P0</x:v>
      </x:c>
      <x:c r="J8" s="13" t="str">
        <x:v>Record real foley</x:v>
      </x:c>
      <x:c r="K8" s="13" t="str">
        <x:v>USB mic + Reaper/Audition</x:v>
      </x:c>
      <x:c r="L8" s="13" t="str">
        <x:v>SFX_Body</x:v>
      </x:c>
      <x:c r="M8" s="13" t="str">
        <x:v>body.footstep.surface.dirt.walk</x:v>
      </x:c>
      <x:c r="N8" s="13" t="str">
        <x:v>Soft-soled leather boot on hard-packed cold dirt with scattered dry autumn leaves, dry, close mic, isolated single step.</x:v>
      </x:c>
      <x:c r="O8" s="13" t="str">
        <x:v>Use as default yard movement. Needs less crunch than forest.</x:v>
      </x:c>
      <x:c r="P8" s="13" t="str">
        <x:v>Not started</x:v>
      </x:c>
      <x:c r="Q8" s="13" t="str"/>
      <x:c r="R8" s="13" t="n">
        <x:v>7</x:v>
      </x:c>
    </x:row>
    <x:row r="9" ht="64" customHeight="1">
      <x:c r="A9" s="13" t="str">
        <x:v>FOOT_KALEV_FOREST_WALK</x:v>
      </x:c>
      <x:c r="B9" s="13" t="str">
        <x:v>2</x:v>
      </x:c>
      <x:c r="C9" s="13" t="str">
        <x:v>Body</x:v>
      </x:c>
      <x:c r="D9" s="13" t="str">
        <x:v>Footsteps</x:v>
      </x:c>
      <x:c r="E9" s="13" t="str">
        <x:v>Kalev walk — forest floor</x:v>
      </x:c>
      <x:c r="F9" s="13" t="n">
        <x:v>6</x:v>
      </x:c>
      <x:c r="G9" s="13" t="str">
        <x:v>0.25-0.7s each</x:v>
      </x:c>
      <x:c r="H9" s="13" t="str">
        <x:v>No</x:v>
      </x:c>
      <x:c r="I9" s="13" t="str">
        <x:v>P0</x:v>
      </x:c>
      <x:c r="J9" s="13" t="str">
        <x:v>Record real foley</x:v>
      </x:c>
      <x:c r="K9" s="13" t="str">
        <x:v>USB mic + Reaper/Audition</x:v>
      </x:c>
      <x:c r="L9" s="13" t="str">
        <x:v>SFX_Body</x:v>
      </x:c>
      <x:c r="M9" s="13" t="str">
        <x:v>body.footstep.surface.forest.walk</x:v>
      </x:c>
      <x:c r="N9" s="13" t="str">
        <x:v>Soft-soled leather boot on damp forest floor of leaf litter and pine duff with occasional small twig snap, slight forest reverb tail, isolated single step.</x:v>
      </x:c>
      <x:c r="O9" s="13" t="str">
        <x:v>Capture twig and no-twig variants separately for randomization.</x:v>
      </x:c>
      <x:c r="P9" s="13" t="str">
        <x:v>Not started</x:v>
      </x:c>
      <x:c r="Q9" s="13" t="str"/>
      <x:c r="R9" s="13" t="n">
        <x:v>8</x:v>
      </x:c>
    </x:row>
    <x:row r="10" ht="64" customHeight="1">
      <x:c r="A10" s="13" t="str">
        <x:v>FOOT_KALEV_WOOD_RUN</x:v>
      </x:c>
      <x:c r="B10" s="13" t="str">
        <x:v>5</x:v>
      </x:c>
      <x:c r="C10" s="13" t="str">
        <x:v>Body</x:v>
      </x:c>
      <x:c r="D10" s="13" t="str">
        <x:v>Footsteps</x:v>
      </x:c>
      <x:c r="E10" s="13" t="str">
        <x:v>Kalev run — aged pine floor</x:v>
      </x:c>
      <x:c r="F10" s="13" t="n">
        <x:v>4</x:v>
      </x:c>
      <x:c r="G10" s="13" t="str">
        <x:v>0.2-0.4s each</x:v>
      </x:c>
      <x:c r="H10" s="13" t="str">
        <x:v>No</x:v>
      </x:c>
      <x:c r="I10" s="13" t="str">
        <x:v>P0</x:v>
      </x:c>
      <x:c r="J10" s="13" t="str">
        <x:v>Record real foley</x:v>
      </x:c>
      <x:c r="K10" s="13" t="str">
        <x:v>USB mic + Reaper/Audition</x:v>
      </x:c>
      <x:c r="L10" s="13" t="str">
        <x:v>SFX_Body</x:v>
      </x:c>
      <x:c r="M10" s="13" t="str">
        <x:v>body.footstep.surface.wood.run</x:v>
      </x:c>
      <x:c r="N10" s="13" t="str">
        <x:v>Single running step, soft-soled leather boot on aged pine, faster cadence, slight imbalance suggesting fatigue or wound, isolated.</x:v>
      </x:c>
      <x:c r="O10" s="13" t="str">
        <x:v>Not heroic/heavy. Shorter, breath-adjacent, desperate.</x:v>
      </x:c>
      <x:c r="P10" s="13" t="str">
        <x:v>Not started</x:v>
      </x:c>
      <x:c r="Q10" s="13" t="str"/>
      <x:c r="R10" s="13" t="n">
        <x:v>9</x:v>
      </x:c>
    </x:row>
    <x:row r="11" ht="64" customHeight="1">
      <x:c r="A11" s="13" t="str">
        <x:v>FOOT_KALEV_DIRT_RUN</x:v>
      </x:c>
      <x:c r="B11" s="13" t="str">
        <x:v>5</x:v>
      </x:c>
      <x:c r="C11" s="13" t="str">
        <x:v>Body</x:v>
      </x:c>
      <x:c r="D11" s="13" t="str">
        <x:v>Footsteps</x:v>
      </x:c>
      <x:c r="E11" s="13" t="str">
        <x:v>Kalev run — packed dirt yard</x:v>
      </x:c>
      <x:c r="F11" s="13" t="n">
        <x:v>4</x:v>
      </x:c>
      <x:c r="G11" s="13" t="str">
        <x:v>0.2-0.4s each</x:v>
      </x:c>
      <x:c r="H11" s="13" t="str">
        <x:v>No</x:v>
      </x:c>
      <x:c r="I11" s="13" t="str">
        <x:v>P0</x:v>
      </x:c>
      <x:c r="J11" s="13" t="str">
        <x:v>Record real foley</x:v>
      </x:c>
      <x:c r="K11" s="13" t="str">
        <x:v>USB mic + Reaper/Audition</x:v>
      </x:c>
      <x:c r="L11" s="13" t="str">
        <x:v>SFX_Body</x:v>
      </x:c>
      <x:c r="M11" s="13" t="str">
        <x:v>body.footstep.surface.dirt.run</x:v>
      </x:c>
      <x:c r="N11" s="13" t="str">
        <x:v>Single running step, soft-soled leather boot on hard-packed cold dirt with dry leaves, faster cadence, slight imbalance, isolated.</x:v>
      </x:c>
      <x:c r="O11" s="13" t="str">
        <x:v>Combat sequence should alternate dirt and threshold/door/floor as actor moves.</x:v>
      </x:c>
      <x:c r="P11" s="13" t="str">
        <x:v>Not started</x:v>
      </x:c>
      <x:c r="Q11" s="13" t="str"/>
      <x:c r="R11" s="13" t="n">
        <x:v>10</x:v>
      </x:c>
    </x:row>
    <x:row r="12" ht="64" customHeight="1">
      <x:c r="A12" s="13" t="str">
        <x:v>FOOT_KALEV_FOREST_RUN</x:v>
      </x:c>
      <x:c r="B12" s="13" t="str">
        <x:v>5</x:v>
      </x:c>
      <x:c r="C12" s="13" t="str">
        <x:v>Body</x:v>
      </x:c>
      <x:c r="D12" s="13" t="str">
        <x:v>Footsteps</x:v>
      </x:c>
      <x:c r="E12" s="13" t="str">
        <x:v>Kalev run — forest leaves</x:v>
      </x:c>
      <x:c r="F12" s="13" t="n">
        <x:v>4</x:v>
      </x:c>
      <x:c r="G12" s="13" t="str">
        <x:v>0.2-0.5s each</x:v>
      </x:c>
      <x:c r="H12" s="13" t="str">
        <x:v>No</x:v>
      </x:c>
      <x:c r="I12" s="13" t="str">
        <x:v>P1</x:v>
      </x:c>
      <x:c r="J12" s="13" t="str">
        <x:v>Record real foley</x:v>
      </x:c>
      <x:c r="K12" s="13" t="str">
        <x:v>USB mic + Reaper/Audition</x:v>
      </x:c>
      <x:c r="L12" s="13" t="str">
        <x:v>SFX_Body</x:v>
      </x:c>
      <x:c r="M12" s="13" t="str">
        <x:v>body.footstep.surface.forest.run</x:v>
      </x:c>
      <x:c r="N12" s="13" t="str">
        <x:v>Single running step, soft-soled boot on damp leaf litter and pine duff, occasional small twig snap, imbalanced fatigue.</x:v>
      </x:c>
      <x:c r="O12" s="13" t="str">
        <x:v>Use for chase/edge-of-woods moments and optional routing.</x:v>
      </x:c>
      <x:c r="P12" s="13" t="str">
        <x:v>Not started</x:v>
      </x:c>
      <x:c r="Q12" s="13" t="str"/>
      <x:c r="R12" s="13" t="n">
        <x:v>11</x:v>
      </x:c>
    </x:row>
    <x:row r="13" ht="64" customHeight="1">
      <x:c r="A13" s="13" t="str">
        <x:v>BODY_KALEV_CLOTH</x:v>
      </x:c>
      <x:c r="B13" s="13" t="str">
        <x:v>1-5</x:v>
      </x:c>
      <x:c r="C13" s="13" t="str">
        <x:v>Body</x:v>
      </x:c>
      <x:c r="D13" s="13" t="str">
        <x:v>Cloth</x:v>
      </x:c>
      <x:c r="E13" s="13" t="str">
        <x:v>Kalev wool/linen movement</x:v>
      </x:c>
      <x:c r="F13" s="13" t="n">
        <x:v>6</x:v>
      </x:c>
      <x:c r="G13" s="13" t="str">
        <x:v>1-2s each</x:v>
      </x:c>
      <x:c r="H13" s="13" t="str">
        <x:v>No</x:v>
      </x:c>
      <x:c r="I13" s="13" t="str">
        <x:v>P0</x:v>
      </x:c>
      <x:c r="J13" s="13" t="str">
        <x:v>Record real foley</x:v>
      </x:c>
      <x:c r="K13" s="13" t="str">
        <x:v>USB mic + Reaper/Audition</x:v>
      </x:c>
      <x:c r="L13" s="13" t="str">
        <x:v>SFX_Body</x:v>
      </x:c>
      <x:c r="M13" s="13" t="str">
        <x:v>body.cloth.turn_reach_kneel</x:v>
      </x:c>
      <x:c r="N13" s="13" t="str">
        <x:v>Wool and linen layered clothing rustling with body movement, gentle not dramatic, adult man turning/reaching/kneeling, close-mic.</x:v>
      </x:c>
      <x:c r="O13" s="13" t="str">
        <x:v>Record with actual coat/scarf/glove materials. Use very low in mix.</x:v>
      </x:c>
      <x:c r="P13" s="13" t="str">
        <x:v>Not started</x:v>
      </x:c>
      <x:c r="Q13" s="13" t="str"/>
      <x:c r="R13" s="13" t="n">
        <x:v>12</x:v>
      </x:c>
    </x:row>
    <x:row r="14" ht="64" customHeight="1">
      <x:c r="A14" s="13" t="str">
        <x:v>BREATH_KALEV_CALM_LOOP</x:v>
      </x:c>
      <x:c r="B14" s="13" t="str">
        <x:v>1-3</x:v>
      </x:c>
      <x:c r="C14" s="13" t="str">
        <x:v>Body</x:v>
      </x:c>
      <x:c r="D14" s="13" t="str">
        <x:v>Breath</x:v>
      </x:c>
      <x:c r="E14" s="13" t="str">
        <x:v>Kalev calm breath cycle</x:v>
      </x:c>
      <x:c r="F14" s="13" t="n">
        <x:v>2</x:v>
      </x:c>
      <x:c r="G14" s="13" t="str">
        <x:v>6s loop</x:v>
      </x:c>
      <x:c r="H14" s="13" t="str">
        <x:v>Yes</x:v>
      </x:c>
      <x:c r="I14" s="13" t="str">
        <x:v>P0</x:v>
      </x:c>
      <x:c r="J14" s="13" t="str">
        <x:v>Record real foley</x:v>
      </x:c>
      <x:c r="K14" s="13" t="str">
        <x:v>USB mic + Reaper/Audition</x:v>
      </x:c>
      <x:c r="L14" s="13" t="str">
        <x:v>SFX_Body</x:v>
      </x:c>
      <x:c r="M14" s="13" t="str">
        <x:v>body.breath.calm</x:v>
      </x:c>
      <x:c r="N14" s="13" t="str">
        <x:v>Adult man breathing quietly at rest, six second cycle: inhale through nose 2s, hold 1s, exhale through nose 3s; very low volume; loopable.</x:v>
      </x:c>
      <x:c r="O14" s="13" t="str">
        <x:v>Thread in quiet moments only; do not play constantly at full level.</x:v>
      </x:c>
      <x:c r="P14" s="13" t="str">
        <x:v>Not started</x:v>
      </x:c>
      <x:c r="Q14" s="13" t="str"/>
      <x:c r="R14" s="13" t="n">
        <x:v>13</x:v>
      </x:c>
    </x:row>
    <x:row r="15" ht="64" customHeight="1">
      <x:c r="A15" s="13" t="str">
        <x:v>BREATH_KALEV_WORK_LOOP</x:v>
      </x:c>
      <x:c r="B15" s="13" t="str">
        <x:v>1-3</x:v>
      </x:c>
      <x:c r="C15" s="13" t="str">
        <x:v>Body</x:v>
      </x:c>
      <x:c r="D15" s="13" t="str">
        <x:v>Breath</x:v>
      </x:c>
      <x:c r="E15" s="13" t="str">
        <x:v>Kalev working breath cycle</x:v>
      </x:c>
      <x:c r="F15" s="13" t="n">
        <x:v>2</x:v>
      </x:c>
      <x:c r="G15" s="13" t="str">
        <x:v>4s loop</x:v>
      </x:c>
      <x:c r="H15" s="13" t="str">
        <x:v>Yes</x:v>
      </x:c>
      <x:c r="I15" s="13" t="str">
        <x:v>P0</x:v>
      </x:c>
      <x:c r="J15" s="13" t="str">
        <x:v>Record real foley</x:v>
      </x:c>
      <x:c r="K15" s="13" t="str">
        <x:v>USB mic + Reaper/Audition</x:v>
      </x:c>
      <x:c r="L15" s="13" t="str">
        <x:v>SFX_Body</x:v>
      </x:c>
      <x:c r="M15" s="13" t="str">
        <x:v>body.breath.working</x:v>
      </x:c>
      <x:c r="N15" s="13" t="str">
        <x:v>Adult man breathing slightly heavier while crafting, kneeling, or lifting; four second cycle, restrained, close-mic, loopable.</x:v>
      </x:c>
      <x:c r="O15" s="13" t="str">
        <x:v>Tie to work/channel timers. Fade in/out over 300ms.</x:v>
      </x:c>
      <x:c r="P15" s="13" t="str">
        <x:v>Not started</x:v>
      </x:c>
      <x:c r="Q15" s="13" t="str"/>
      <x:c r="R15" s="13" t="n">
        <x:v>14</x:v>
      </x:c>
    </x:row>
    <x:row r="16" ht="64" customHeight="1">
      <x:c r="A16" s="13" t="str">
        <x:v>BREATH_KALEV_COMBAT_LOOP</x:v>
      </x:c>
      <x:c r="B16" s="13" t="str">
        <x:v>5</x:v>
      </x:c>
      <x:c r="C16" s="13" t="str">
        <x:v>Body</x:v>
      </x:c>
      <x:c r="D16" s="13" t="str">
        <x:v>Breath</x:v>
      </x:c>
      <x:c r="E16" s="13" t="str">
        <x:v>Kalev combat breath cycle</x:v>
      </x:c>
      <x:c r="F16" s="13" t="n">
        <x:v>2</x:v>
      </x:c>
      <x:c r="G16" s="13" t="str">
        <x:v>2s loop</x:v>
      </x:c>
      <x:c r="H16" s="13" t="str">
        <x:v>Yes</x:v>
      </x:c>
      <x:c r="I16" s="13" t="str">
        <x:v>P0</x:v>
      </x:c>
      <x:c r="J16" s="13" t="str">
        <x:v>Record real foley</x:v>
      </x:c>
      <x:c r="K16" s="13" t="str">
        <x:v>USB mic + Reaper/Audition</x:v>
      </x:c>
      <x:c r="L16" s="13" t="str">
        <x:v>SFX_Body</x:v>
      </x:c>
      <x:c r="M16" s="13" t="str">
        <x:v>body.breath.combat</x:v>
      </x:c>
      <x:c r="N16" s="13" t="str">
        <x:v>Adult man breathing under physical stress and fear, two second cycle sharp mouth inhale, controlled exhale through teeth, slight rasp.</x:v>
      </x:c>
      <x:c r="O16" s="13" t="str">
        <x:v>Sidechain under wolf attacks; audible after near-miss/silence.</x:v>
      </x:c>
      <x:c r="P16" s="13" t="str">
        <x:v>Not started</x:v>
      </x:c>
      <x:c r="Q16" s="13" t="str"/>
      <x:c r="R16" s="13" t="n">
        <x:v>15</x:v>
      </x:c>
    </x:row>
    <x:row r="17" ht="64" customHeight="1">
      <x:c r="A17" s="13" t="str">
        <x:v>BODY_KALEV_UNCONSCIOUS_SET</x:v>
      </x:c>
      <x:c r="B17" s="13" t="str">
        <x:v>1-5</x:v>
      </x:c>
      <x:c r="C17" s="13" t="str">
        <x:v>Body</x:v>
      </x:c>
      <x:c r="D17" s="13" t="str">
        <x:v>Unconscious sounds</x:v>
      </x:c>
      <x:c r="E17" s="13" t="str">
        <x:v>Kalev sigh/sniff/throat/effort set</x:v>
      </x:c>
      <x:c r="F17" s="13" t="n">
        <x:v>12</x:v>
      </x:c>
      <x:c r="G17" s="13" t="str">
        <x:v>0.5-2s each</x:v>
      </x:c>
      <x:c r="H17" s="13" t="str">
        <x:v>No</x:v>
      </x:c>
      <x:c r="I17" s="13" t="str">
        <x:v>P1</x:v>
      </x:c>
      <x:c r="J17" s="13" t="str">
        <x:v>Record real foley</x:v>
      </x:c>
      <x:c r="K17" s="13" t="str">
        <x:v>USB mic + Reaper/Audition</x:v>
      </x:c>
      <x:c r="L17" s="13" t="str">
        <x:v>SFX_Body</x:v>
      </x:c>
      <x:c r="M17" s="13" t="str">
        <x:v>body.micro.idle_rare</x:v>
      </x:c>
      <x:c r="N17" s="13" t="str">
        <x:v>Quiet sighs, cold-weather sniffs, soft throat-clearing, quiet grunts of effort kneeling/lifting. Naturalistic, not performed.</x:v>
      </x:c>
      <x:c r="O17" s="13" t="str">
        <x:v>Rare one-shots with cooldown; avoid player fatigue.</x:v>
      </x:c>
      <x:c r="P17" s="13" t="str">
        <x:v>Not started</x:v>
      </x:c>
      <x:c r="Q17" s="13" t="str"/>
      <x:c r="R17" s="13" t="n">
        <x:v>16</x:v>
      </x:c>
    </x:row>
    <x:row r="18" ht="64" customHeight="1">
      <x:c r="A18" s="13" t="str">
        <x:v>DOOR_FRONT_OPEN</x:v>
      </x:c>
      <x:c r="B18" s="13" t="str">
        <x:v>1-5</x:v>
      </x:c>
      <x:c r="C18" s="13" t="str">
        <x:v>Foley</x:v>
      </x:c>
      <x:c r="D18" s="13" t="str">
        <x:v>Door</x:v>
      </x:c>
      <x:c r="E18" s="13" t="str">
        <x:v>Cabin front door opening</x:v>
      </x:c>
      <x:c r="F18" s="13" t="n">
        <x:v>3</x:v>
      </x:c>
      <x:c r="G18" s="13" t="str">
        <x:v>2s</x:v>
      </x:c>
      <x:c r="H18" s="13" t="str">
        <x:v>No</x:v>
      </x:c>
      <x:c r="I18" s="13" t="str">
        <x:v>P0</x:v>
      </x:c>
      <x:c r="J18" s="13" t="str">
        <x:v>Generate or record</x:v>
      </x:c>
      <x:c r="K18" s="13" t="str">
        <x:v>ElevenLabs / real door foley</x:v>
      </x:c>
      <x:c r="L18" s="13" t="str">
        <x:v>SFX_Foley</x:v>
      </x:c>
      <x:c r="M18" s="13" t="str">
        <x:v>interact.door.front.open</x:v>
      </x:c>
      <x:c r="N18" s="13" t="str">
        <x:v>Door sound effect, heavy wooden cabin front door opening inward, worn iron hinge creak prominent, two second clip, close-mic with small natural interior reverb, no music.</x:v>
      </x:c>
      <x:c r="O18" s="13" t="str">
        <x:v>Layer hinge + wood movement; use spatial source at door.</x:v>
      </x:c>
      <x:c r="P18" s="13" t="str">
        <x:v>Not started</x:v>
      </x:c>
      <x:c r="Q18" s="13" t="str"/>
      <x:c r="R18" s="13" t="n">
        <x:v>17</x:v>
      </x:c>
    </x:row>
    <x:row r="19" ht="64" customHeight="1">
      <x:c r="A19" s="13" t="str">
        <x:v>DOOR_FRONT_CLOSE</x:v>
      </x:c>
      <x:c r="B19" s="13" t="str">
        <x:v>1-5</x:v>
      </x:c>
      <x:c r="C19" s="13" t="str">
        <x:v>Foley</x:v>
      </x:c>
      <x:c r="D19" s="13" t="str">
        <x:v>Door</x:v>
      </x:c>
      <x:c r="E19" s="13" t="str">
        <x:v>Cabin front door closing/latch</x:v>
      </x:c>
      <x:c r="F19" s="13" t="n">
        <x:v>3</x:v>
      </x:c>
      <x:c r="G19" s="13" t="str">
        <x:v>2s</x:v>
      </x:c>
      <x:c r="H19" s="13" t="str">
        <x:v>No</x:v>
      </x:c>
      <x:c r="I19" s="13" t="str">
        <x:v>P0</x:v>
      </x:c>
      <x:c r="J19" s="13" t="str">
        <x:v>Generate or record</x:v>
      </x:c>
      <x:c r="K19" s="13" t="str">
        <x:v>ElevenLabs / real door foley</x:v>
      </x:c>
      <x:c r="L19" s="13" t="str">
        <x:v>SFX_Foley</x:v>
      </x:c>
      <x:c r="M19" s="13" t="str">
        <x:v>interact.door.front.close</x:v>
      </x:c>
      <x:c r="N19" s="13" t="str">
        <x:v>Heavy wooden cabin front door closing, worn iron hinge, wooden thunk into frame, small iron latch click, close-mic, small interior reverb.</x:v>
      </x:c>
      <x:c r="O19" s="13" t="str">
        <x:v>Make latch readable; not too loud in quiet scenes.</x:v>
      </x:c>
      <x:c r="P19" s="13" t="str">
        <x:v>Not started</x:v>
      </x:c>
      <x:c r="Q19" s="13" t="str"/>
      <x:c r="R19" s="13" t="n">
        <x:v>18</x:v>
      </x:c>
    </x:row>
    <x:row r="20" ht="64" customHeight="1">
      <x:c r="A20" s="13" t="str">
        <x:v>DOOR_INTERIOR_CURTAIN</x:v>
      </x:c>
      <x:c r="B20" s="13" t="str">
        <x:v>1-5</x:v>
      </x:c>
      <x:c r="C20" s="13" t="str">
        <x:v>Foley</x:v>
      </x:c>
      <x:c r="D20" s="13" t="str">
        <x:v>Door</x:v>
      </x:c>
      <x:c r="E20" s="13" t="str">
        <x:v>Interior partition/curtain</x:v>
      </x:c>
      <x:c r="F20" s="13" t="n">
        <x:v>3</x:v>
      </x:c>
      <x:c r="G20" s="13" t="str">
        <x:v>0.5-1.5s</x:v>
      </x:c>
      <x:c r="H20" s="13" t="str">
        <x:v>No</x:v>
      </x:c>
      <x:c r="I20" s="13" t="str">
        <x:v>P2</x:v>
      </x:c>
      <x:c r="J20" s="13" t="str">
        <x:v>Generate or record</x:v>
      </x:c>
      <x:c r="K20" s="13" t="str">
        <x:v>ElevenLabs / real foley</x:v>
      </x:c>
      <x:c r="L20" s="13" t="str">
        <x:v>SFX_Foley</x:v>
      </x:c>
      <x:c r="M20" s="13" t="str">
        <x:v>interact.partition.move</x:v>
      </x:c>
      <x:c r="N20" s="13" t="str">
        <x:v>Light interior partition curtain or small cabin door moving, fabric/wood whisper, quick and restrained, close mic.</x:v>
      </x:c>
      <x:c r="O20" s="13" t="str">
        <x:v>Only if interior partition exists in level art.</x:v>
      </x:c>
      <x:c r="P20" s="13" t="str">
        <x:v>Not started</x:v>
      </x:c>
      <x:c r="Q20" s="13" t="str"/>
      <x:c r="R20" s="13" t="n">
        <x:v>19</x:v>
      </x:c>
    </x:row>
    <x:row r="21" ht="64" customHeight="1">
      <x:c r="A21" s="13" t="str">
        <x:v>HEARTH_ADD_LOG</x:v>
      </x:c>
      <x:c r="B21" s="13" t="str">
        <x:v>1-5</x:v>
      </x:c>
      <x:c r="C21" s="13" t="str">
        <x:v>Foley</x:v>
      </x:c>
      <x:c r="D21" s="13" t="str">
        <x:v>Fire/Hearth</x:v>
      </x:c>
      <x:c r="E21" s="13" t="str">
        <x:v>Add log to hearth</x:v>
      </x:c>
      <x:c r="F21" s="13" t="n">
        <x:v>4</x:v>
      </x:c>
      <x:c r="G21" s="13" t="str">
        <x:v>3s</x:v>
      </x:c>
      <x:c r="H21" s="13" t="str">
        <x:v>No</x:v>
      </x:c>
      <x:c r="I21" s="13" t="str">
        <x:v>P0</x:v>
      </x:c>
      <x:c r="J21" s="13" t="str">
        <x:v>Generate + layer</x:v>
      </x:c>
      <x:c r="K21" s="13" t="str">
        <x:v>ElevenLabs + DAW</x:v>
      </x:c>
      <x:c r="L21" s="13" t="str">
        <x:v>SFX_Foley</x:v>
      </x:c>
      <x:c r="M21" s="13" t="str">
        <x:v>interact.hearth.add_log</x:v>
      </x:c>
      <x:c r="N21" s="13" t="str">
        <x:v>Sound effect of adding split log to existing hearth fire, log placed on hot coals with brief crackling flare-up of flame then settle back to gentle burn, three second clip, close-mic with small interior reverb.</x:v>
      </x:c>
      <x:c r="O21" s="13" t="str">
        <x:v>Duck under dialogue/care only slightly; should feel warm against cold.</x:v>
      </x:c>
      <x:c r="P21" s="13" t="str">
        <x:v>Not started</x:v>
      </x:c>
      <x:c r="Q21" s="13" t="str"/>
      <x:c r="R21" s="13" t="n">
        <x:v>20</x:v>
      </x:c>
    </x:row>
    <x:row r="22" ht="64" customHeight="1">
      <x:c r="A22" s="13" t="str">
        <x:v>HEARTH_POKE_COALS</x:v>
      </x:c>
      <x:c r="B22" s="13" t="str">
        <x:v>1-5</x:v>
      </x:c>
      <x:c r="C22" s="13" t="str">
        <x:v>Foley</x:v>
      </x:c>
      <x:c r="D22" s="13" t="str">
        <x:v>Fire/Hearth</x:v>
      </x:c>
      <x:c r="E22" s="13" t="str">
        <x:v>Poke hearth coals</x:v>
      </x:c>
      <x:c r="F22" s="13" t="n">
        <x:v>4</x:v>
      </x:c>
      <x:c r="G22" s="13" t="str">
        <x:v>1-2s</x:v>
      </x:c>
      <x:c r="H22" s="13" t="str">
        <x:v>No</x:v>
      </x:c>
      <x:c r="I22" s="13" t="str">
        <x:v>P1</x:v>
      </x:c>
      <x:c r="J22" s="13" t="str">
        <x:v>Generate + layer</x:v>
      </x:c>
      <x:c r="K22" s="13" t="str">
        <x:v>ElevenLabs + DAW</x:v>
      </x:c>
      <x:c r="L22" s="13" t="str">
        <x:v>SFX_Foley</x:v>
      </x:c>
      <x:c r="M22" s="13" t="str">
        <x:v>interact.hearth.poke</x:v>
      </x:c>
      <x:c r="N22" s="13" t="str">
        <x:v>Iron poker disturbing hot coals, embers shifting, brief flame flare, small interior reverb, isolated.</x:v>
      </x:c>
      <x:c r="O22" s="13" t="str">
        <x:v>Use when warmth adjusted; not every idle loop.</x:v>
      </x:c>
      <x:c r="P22" s="13" t="str">
        <x:v>Not started</x:v>
      </x:c>
      <x:c r="Q22" s="13" t="str"/>
      <x:c r="R22" s="13" t="n">
        <x:v>21</x:v>
      </x:c>
    </x:row>
    <x:row r="23" ht="64" customHeight="1">
      <x:c r="A23" s="13" t="str">
        <x:v>HEARTH_POT_HOOK</x:v>
      </x:c>
      <x:c r="B23" s="13" t="str">
        <x:v>2-3</x:v>
      </x:c>
      <x:c r="C23" s="13" t="str">
        <x:v>Foley</x:v>
      </x:c>
      <x:c r="D23" s="13" t="str">
        <x:v>Fire/Hearth</x:v>
      </x:c>
      <x:c r="E23" s="13" t="str">
        <x:v>Iron pot/kettle on hook</x:v>
      </x:c>
      <x:c r="F23" s="13" t="n">
        <x:v>3</x:v>
      </x:c>
      <x:c r="G23" s="13" t="str">
        <x:v>1-2s</x:v>
      </x:c>
      <x:c r="H23" s="13" t="str">
        <x:v>No</x:v>
      </x:c>
      <x:c r="I23" s="13" t="str">
        <x:v>P1</x:v>
      </x:c>
      <x:c r="J23" s="13" t="str">
        <x:v>Generate or record</x:v>
      </x:c>
      <x:c r="K23" s="13" t="str">
        <x:v>ElevenLabs / real foley</x:v>
      </x:c>
      <x:c r="L23" s="13" t="str">
        <x:v>SFX_Foley</x:v>
      </x:c>
      <x:c r="M23" s="13" t="str">
        <x:v>interact.hearth.pot_hook</x:v>
      </x:c>
      <x:c r="N23" s="13" t="str">
        <x:v>Iron handle set onto iron hook over hearth, small chain or arm creaking under weight, close mic, natural cabin reverb.</x:v>
      </x:c>
      <x:c r="O23" s="13" t="str">
        <x:v>Good for porridge/kettle if used; active Act 2 is bread, so keep optional.</x:v>
      </x:c>
      <x:c r="P23" s="13" t="str">
        <x:v>Not started</x:v>
      </x:c>
      <x:c r="Q23" s="13" t="str"/>
      <x:c r="R23" s="13" t="n">
        <x:v>22</x:v>
      </x:c>
    </x:row>
    <x:row r="24" ht="64" customHeight="1">
      <x:c r="A24" s="13" t="str">
        <x:v>CRAFT_MORTAR_DRY_LEAF</x:v>
      </x:c>
      <x:c r="B24" s="13" t="str">
        <x:v>3</x:v>
      </x:c>
      <x:c r="C24" s="13" t="str">
        <x:v>Foley</x:v>
      </x:c>
      <x:c r="D24" s="13" t="str">
        <x:v>Crafting</x:v>
      </x:c>
      <x:c r="E24" s="13" t="str">
        <x:v>Pestle/mortar — dried leafy herb</x:v>
      </x:c>
      <x:c r="F24" s="13" t="n">
        <x:v>6</x:v>
      </x:c>
      <x:c r="G24" s="13" t="str">
        <x:v>2s each</x:v>
      </x:c>
      <x:c r="H24" s="13" t="str">
        <x:v>No</x:v>
      </x:c>
      <x:c r="I24" s="13" t="str">
        <x:v>P0</x:v>
      </x:c>
      <x:c r="J24" s="13" t="str">
        <x:v>Record real foley</x:v>
      </x:c>
      <x:c r="K24" s="13" t="str">
        <x:v>Ceramic mortar + mic</x:v>
      </x:c>
      <x:c r="L24" s="13" t="str">
        <x:v>SFX_Foley</x:v>
      </x:c>
      <x:c r="M24" s="13" t="str">
        <x:v>craft.herb.grind.leaf</x:v>
      </x:c>
      <x:c r="N24" s="13" t="str">
        <x:v>Pestle grinding dried herbs in ceramic mortar, dry leafy material crushed and ground, ceramic-on-ceramic light scrape and percussive grind, close-mic, no reverb.</x:v>
      </x:c>
      <x:c r="O24" s="13" t="str">
        <x:v>Load-bearing crafting sound. Record with real ceramic if possible.</x:v>
      </x:c>
      <x:c r="P24" s="13" t="str">
        <x:v>Not started</x:v>
      </x:c>
      <x:c r="Q24" s="13" t="str"/>
      <x:c r="R24" s="13" t="n">
        <x:v>23</x:v>
      </x:c>
    </x:row>
    <x:row r="25" ht="64" customHeight="1">
      <x:c r="A25" s="13" t="str">
        <x:v>CRAFT_MORTAR_ROOT</x:v>
      </x:c>
      <x:c r="B25" s="13" t="str">
        <x:v>3</x:v>
      </x:c>
      <x:c r="C25" s="13" t="str">
        <x:v>Foley</x:v>
      </x:c>
      <x:c r="D25" s="13" t="str">
        <x:v>Crafting</x:v>
      </x:c>
      <x:c r="E25" s="13" t="str">
        <x:v>Pestle/mortar — dried root</x:v>
      </x:c>
      <x:c r="F25" s="13" t="n">
        <x:v>6</x:v>
      </x:c>
      <x:c r="G25" s="13" t="str">
        <x:v>2s each</x:v>
      </x:c>
      <x:c r="H25" s="13" t="str">
        <x:v>No</x:v>
      </x:c>
      <x:c r="I25" s="13" t="str">
        <x:v>P0</x:v>
      </x:c>
      <x:c r="J25" s="13" t="str">
        <x:v>Record real foley</x:v>
      </x:c>
      <x:c r="K25" s="13" t="str">
        <x:v>Ceramic mortar + mic</x:v>
      </x:c>
      <x:c r="L25" s="13" t="str">
        <x:v>SFX_Foley</x:v>
      </x:c>
      <x:c r="M25" s="13" t="str">
        <x:v>craft.herb.grind.root</x:v>
      </x:c>
      <x:c r="N25" s="13" t="str">
        <x:v>Pestle grinding dried root in ceramic mortar, harder dry material cracking and grinding, ceramic scrape and dull percussive impacts, close-mic.</x:v>
      </x:c>
      <x:c r="O25" s="13" t="str">
        <x:v>Use material-specific variations to make ingredients feel distinct.</x:v>
      </x:c>
      <x:c r="P25" s="13" t="str">
        <x:v>Not started</x:v>
      </x:c>
      <x:c r="Q25" s="13" t="str"/>
      <x:c r="R25" s="13" t="n">
        <x:v>24</x:v>
      </x:c>
    </x:row>
    <x:row r="26" ht="64" customHeight="1">
      <x:c r="A26" s="13" t="str">
        <x:v>CRAFT_WATER_FLASK</x:v>
      </x:c>
      <x:c r="B26" s="13" t="str">
        <x:v>3</x:v>
      </x:c>
      <x:c r="C26" s="13" t="str">
        <x:v>Foley</x:v>
      </x:c>
      <x:c r="D26" s="13" t="str">
        <x:v>Crafting</x:v>
      </x:c>
      <x:c r="E26" s="13" t="str">
        <x:v>Pour water into glass flask</x:v>
      </x:c>
      <x:c r="F26" s="13" t="n">
        <x:v>3</x:v>
      </x:c>
      <x:c r="G26" s="13" t="str">
        <x:v>2s</x:v>
      </x:c>
      <x:c r="H26" s="13" t="str">
        <x:v>No</x:v>
      </x:c>
      <x:c r="I26" s="13" t="str">
        <x:v>P0</x:v>
      </x:c>
      <x:c r="J26" s="13" t="str">
        <x:v>Record or generate</x:v>
      </x:c>
      <x:c r="K26" s="13" t="str">
        <x:v>Real glass/water or ElevenLabs</x:v>
      </x:c>
      <x:c r="L26" s="13" t="str">
        <x:v>SFX_Foley</x:v>
      </x:c>
      <x:c r="M26" s="13" t="str">
        <x:v>craft.flask.water_pour</x:v>
      </x:c>
      <x:c r="N26" s="13" t="str">
        <x:v>Water poured into small glass flask, clear glass-and-water detail, close-mic, no music, isolated.</x:v>
      </x:c>
      <x:c r="O26" s="13" t="str">
        <x:v>Keep small volume; no kitchen-sink largeness.</x:v>
      </x:c>
      <x:c r="P26" s="13" t="str">
        <x:v>Not started</x:v>
      </x:c>
      <x:c r="Q26" s="13" t="str"/>
      <x:c r="R26" s="13" t="n">
        <x:v>25</x:v>
      </x:c>
    </x:row>
    <x:row r="27" ht="64" customHeight="1">
      <x:c r="A27" s="13" t="str">
        <x:v>CRAFT_FLASK_SETDOWN</x:v>
      </x:c>
      <x:c r="B27" s="13" t="str">
        <x:v>3</x:v>
      </x:c>
      <x:c r="C27" s="13" t="str">
        <x:v>Foley</x:v>
      </x:c>
      <x:c r="D27" s="13" t="str">
        <x:v>Crafting</x:v>
      </x:c>
      <x:c r="E27" s="13" t="str">
        <x:v>Set glass flask on wood</x:v>
      </x:c>
      <x:c r="F27" s="13" t="n">
        <x:v>4</x:v>
      </x:c>
      <x:c r="G27" s="13" t="str">
        <x:v>0.4-1s</x:v>
      </x:c>
      <x:c r="H27" s="13" t="str">
        <x:v>No</x:v>
      </x:c>
      <x:c r="I27" s="13" t="str">
        <x:v>P0</x:v>
      </x:c>
      <x:c r="J27" s="13" t="str">
        <x:v>Record real foley</x:v>
      </x:c>
      <x:c r="K27" s="13" t="str">
        <x:v>Glass flask + wood table</x:v>
      </x:c>
      <x:c r="L27" s="13" t="str">
        <x:v>SFX_Foley</x:v>
      </x:c>
      <x:c r="M27" s="13" t="str">
        <x:v>craft.flask.set_down</x:v>
      </x:c>
      <x:c r="N27" s="13" t="str">
        <x:v>Small glass flask set down on aged wooden table, gentle clink and wood resonance, close-mic, isolated.</x:v>
      </x:c>
      <x:c r="O27" s="13" t="str">
        <x:v>Randomize for UI wheel and craft sequence.</x:v>
      </x:c>
      <x:c r="P27" s="13" t="str">
        <x:v>Not started</x:v>
      </x:c>
      <x:c r="Q27" s="13" t="str"/>
      <x:c r="R27" s="13" t="n">
        <x:v>26</x:v>
      </x:c>
    </x:row>
    <x:row r="28" ht="64" customHeight="1">
      <x:c r="A28" s="13" t="str">
        <x:v>CRAFT_CORK_STOPPER</x:v>
      </x:c>
      <x:c r="B28" s="13" t="str">
        <x:v>3</x:v>
      </x:c>
      <x:c r="C28" s="13" t="str">
        <x:v>Foley</x:v>
      </x:c>
      <x:c r="D28" s="13" t="str">
        <x:v>Crafting</x:v>
      </x:c>
      <x:c r="E28" s="13" t="str">
        <x:v>Cork/stopper into flask</x:v>
      </x:c>
      <x:c r="F28" s="13" t="n">
        <x:v>3</x:v>
      </x:c>
      <x:c r="G28" s="13" t="str">
        <x:v>0.5-1s</x:v>
      </x:c>
      <x:c r="H28" s="13" t="str">
        <x:v>No</x:v>
      </x:c>
      <x:c r="I28" s="13" t="str">
        <x:v>P1</x:v>
      </x:c>
      <x:c r="J28" s="13" t="str">
        <x:v>Record real foley</x:v>
      </x:c>
      <x:c r="K28" s="13" t="str">
        <x:v>Cork/glass + mic</x:v>
      </x:c>
      <x:c r="L28" s="13" t="str">
        <x:v>SFX_Foley</x:v>
      </x:c>
      <x:c r="M28" s="13" t="str">
        <x:v>craft.flask.stopper</x:v>
      </x:c>
      <x:c r="N28" s="13" t="str">
        <x:v>Small cork or stopper pressed into glass flask, rubbery-squeaky pop, close-mic, isolated.</x:v>
      </x:c>
      <x:c r="O28" s="13" t="str">
        <x:v>Useful confirmation sound; avoid cartoon pop.</x:v>
      </x:c>
      <x:c r="P28" s="13" t="str">
        <x:v>Not started</x:v>
      </x:c>
      <x:c r="Q28" s="13" t="str"/>
      <x:c r="R28" s="13" t="n">
        <x:v>27</x:v>
      </x:c>
    </x:row>
    <x:row r="29" ht="64" customHeight="1">
      <x:c r="A29" s="13" t="str">
        <x:v>CRAFT_FLINT_CANDLE</x:v>
      </x:c>
      <x:c r="B29" s="13" t="str">
        <x:v>3</x:v>
      </x:c>
      <x:c r="C29" s="13" t="str">
        <x:v>Foley</x:v>
      </x:c>
      <x:c r="D29" s="13" t="str">
        <x:v>Crafting</x:v>
      </x:c>
      <x:c r="E29" s="13" t="str">
        <x:v>Flint-and-steel candle ignition</x:v>
      </x:c>
      <x:c r="F29" s="13" t="n">
        <x:v>4</x:v>
      </x:c>
      <x:c r="G29" s="13" t="str">
        <x:v>1.5s</x:v>
      </x:c>
      <x:c r="H29" s="13" t="str">
        <x:v>No</x:v>
      </x:c>
      <x:c r="I29" s="13" t="str">
        <x:v>P0</x:v>
      </x:c>
      <x:c r="J29" s="13" t="str">
        <x:v>Generate + layer</x:v>
      </x:c>
      <x:c r="K29" s="13" t="str">
        <x:v>ElevenLabs + DAW</x:v>
      </x:c>
      <x:c r="L29" s="13" t="str">
        <x:v>SFX_Foley</x:v>
      </x:c>
      <x:c r="M29" s="13" t="str">
        <x:v>craft.candle.light</x:v>
      </x:c>
      <x:c r="N29" s="13" t="str">
        <x:v>Flint and steel strike igniting candle, small spark, tiny flame catch, close-mic, period-correct, no music.</x:v>
      </x:c>
      <x:c r="O29" s="13" t="str">
        <x:v>Use instead of modern match unless visual says otherwise.</x:v>
      </x:c>
      <x:c r="P29" s="13" t="str">
        <x:v>Not started</x:v>
      </x:c>
      <x:c r="Q29" s="13" t="str"/>
      <x:c r="R29" s="13" t="n">
        <x:v>28</x:v>
      </x:c>
    </x:row>
    <x:row r="30" ht="64" customHeight="1">
      <x:c r="A30" s="13" t="str">
        <x:v>CRAFT_SIMMER_FLASK_LOOP</x:v>
      </x:c>
      <x:c r="B30" s="13" t="str">
        <x:v>3</x:v>
      </x:c>
      <x:c r="C30" s="13" t="str">
        <x:v>Foley</x:v>
      </x:c>
      <x:c r="D30" s="13" t="str">
        <x:v>Crafting</x:v>
      </x:c>
      <x:c r="E30" s="13" t="str">
        <x:v>Liquid simmering in flask over candle</x:v>
      </x:c>
      <x:c r="F30" s="13" t="n">
        <x:v>1</x:v>
      </x:c>
      <x:c r="G30" s="13" t="str">
        <x:v>10s seamless</x:v>
      </x:c>
      <x:c r="H30" s="13" t="str">
        <x:v>Yes</x:v>
      </x:c>
      <x:c r="I30" s="13" t="str">
        <x:v>P1</x:v>
      </x:c>
      <x:c r="J30" s="13" t="str">
        <x:v>Generate + mix</x:v>
      </x:c>
      <x:c r="K30" s="13" t="str">
        <x:v>ElevenLabs / DAW</x:v>
      </x:c>
      <x:c r="L30" s="13" t="str">
        <x:v>SFX_Foley</x:v>
      </x:c>
      <x:c r="M30" s="13" t="str">
        <x:v>craft.flask.simmer.loop</x:v>
      </x:c>
      <x:c r="N30" s="13" t="str">
        <x:v>Gentle liquid bubbling and simmering in small glass flask over candle, close perspective, loopable ten seconds, no music.</x:v>
      </x:c>
      <x:c r="O30" s="13" t="str">
        <x:v>Loop only while distillation UI is active; keep very low.</x:v>
      </x:c>
      <x:c r="P30" s="13" t="str">
        <x:v>Not started</x:v>
      </x:c>
      <x:c r="Q30" s="13" t="str"/>
      <x:c r="R30" s="13" t="n">
        <x:v>29</x:v>
      </x:c>
    </x:row>
    <x:row r="31" ht="64" customHeight="1">
      <x:c r="A31" s="13" t="str">
        <x:v>CRAFT_DECANT_TINCTURE</x:v>
      </x:c>
      <x:c r="B31" s="13" t="str">
        <x:v>3</x:v>
      </x:c>
      <x:c r="C31" s="13" t="str">
        <x:v>Foley</x:v>
      </x:c>
      <x:c r="D31" s="13" t="str">
        <x:v>Crafting</x:v>
      </x:c>
      <x:c r="E31" s="13" t="str">
        <x:v>Decant tincture flask to bottle</x:v>
      </x:c>
      <x:c r="F31" s="13" t="n">
        <x:v>3</x:v>
      </x:c>
      <x:c r="G31" s="13" t="str">
        <x:v>2-3s</x:v>
      </x:c>
      <x:c r="H31" s="13" t="str">
        <x:v>No</x:v>
      </x:c>
      <x:c r="I31" s="13" t="str">
        <x:v>P1</x:v>
      </x:c>
      <x:c r="J31" s="13" t="str">
        <x:v>Record or generate</x:v>
      </x:c>
      <x:c r="K31" s="13" t="str">
        <x:v>Real glass/water or ElevenLabs</x:v>
      </x:c>
      <x:c r="L31" s="13" t="str">
        <x:v>SFX_Foley</x:v>
      </x:c>
      <x:c r="M31" s="13" t="str">
        <x:v>craft.tincture.decant</x:v>
      </x:c>
      <x:c r="N31" s="13" t="str">
        <x:v>Small volume liquid poured from glass flask into small bottle, glass clink at end, close-mic, naturalistic.</x:v>
      </x:c>
      <x:c r="O31" s="13" t="str">
        <x:v>Could be layered with low breath for commit moment.</x:v>
      </x:c>
      <x:c r="P31" s="13" t="str">
        <x:v>Not started</x:v>
      </x:c>
      <x:c r="Q31" s="13" t="str"/>
      <x:c r="R31" s="13" t="n">
        <x:v>30</x:v>
      </x:c>
    </x:row>
    <x:row r="32" ht="64" customHeight="1">
      <x:c r="A32" s="13" t="str">
        <x:v>NOTEBOOK_WRITE_SHORT</x:v>
      </x:c>
      <x:c r="B32" s="13" t="str">
        <x:v>1-5</x:v>
      </x:c>
      <x:c r="C32" s="13" t="str">
        <x:v>UI/Foley</x:v>
      </x:c>
      <x:c r="D32" s="13" t="str">
        <x:v>Notebook</x:v>
      </x:c>
      <x:c r="E32" s="13" t="str">
        <x:v>Writing in notebook — short stroke</x:v>
      </x:c>
      <x:c r="F32" s="13" t="n">
        <x:v>8</x:v>
      </x:c>
      <x:c r="G32" s="13" t="str">
        <x:v>1-2s each</x:v>
      </x:c>
      <x:c r="H32" s="13" t="str">
        <x:v>No</x:v>
      </x:c>
      <x:c r="I32" s="13" t="str">
        <x:v>P0</x:v>
      </x:c>
      <x:c r="J32" s="13" t="str">
        <x:v>Record real foley</x:v>
      </x:c>
      <x:c r="K32" s="13" t="str">
        <x:v>Pencil + aged paper + mic</x:v>
      </x:c>
      <x:c r="L32" s="13" t="str">
        <x:v>UI_Diegetic</x:v>
      </x:c>
      <x:c r="M32" s="13" t="str">
        <x:v>notebook.write.stroke</x:v>
      </x:c>
      <x:c r="N32" s="13" t="str">
        <x:v>Pencil or graphite stub writing on aged paper, single short word or stroke, soft graphite scratch on rough paper, close-mic.</x:v>
      </x:c>
      <x:c r="O32" s="13" t="str">
        <x:v>Foundation for marginalia, Witness tick, entry writing; record many variations.</x:v>
      </x:c>
      <x:c r="P32" s="13" t="str">
        <x:v>Not started</x:v>
      </x:c>
      <x:c r="Q32" s="13" t="str"/>
      <x:c r="R32" s="13" t="n">
        <x:v>31</x:v>
      </x:c>
    </x:row>
    <x:row r="33" ht="64" customHeight="1">
      <x:c r="A33" s="13" t="str">
        <x:v>NOTEBOOK_PAGE_TURN</x:v>
      </x:c>
      <x:c r="B33" s="13" t="str">
        <x:v>1-5</x:v>
      </x:c>
      <x:c r="C33" s="13" t="str">
        <x:v>UI/Foley</x:v>
      </x:c>
      <x:c r="D33" s="13" t="str">
        <x:v>Notebook</x:v>
      </x:c>
      <x:c r="E33" s="13" t="str">
        <x:v>Leather notebook page turn</x:v>
      </x:c>
      <x:c r="F33" s="13" t="n">
        <x:v>6</x:v>
      </x:c>
      <x:c r="G33" s="13" t="str">
        <x:v>1-2s each</x:v>
      </x:c>
      <x:c r="H33" s="13" t="str">
        <x:v>No</x:v>
      </x:c>
      <x:c r="I33" s="13" t="str">
        <x:v>P0</x:v>
      </x:c>
      <x:c r="J33" s="13" t="str">
        <x:v>Record real foley</x:v>
      </x:c>
      <x:c r="K33" s="13" t="str">
        <x:v>Notebook + mic</x:v>
      </x:c>
      <x:c r="L33" s="13" t="str">
        <x:v>UI_Diegetic</x:v>
      </x:c>
      <x:c r="M33" s="13" t="str">
        <x:v>notebook.page.turn</x:v>
      </x:c>
      <x:c r="N33" s="13" t="str">
        <x:v>Stiff aged paper turning in leather-bound notebook, close mic, naturalistic, isolated.</x:v>
      </x:c>
      <x:c r="O33" s="13" t="str">
        <x:v>Forward/back variants. Avoid glossy paper.</x:v>
      </x:c>
      <x:c r="P33" s="13" t="str">
        <x:v>Not started</x:v>
      </x:c>
      <x:c r="Q33" s="13" t="str"/>
      <x:c r="R33" s="13" t="n">
        <x:v>32</x:v>
      </x:c>
    </x:row>
    <x:row r="34" ht="64" customHeight="1">
      <x:c r="A34" s="13" t="str">
        <x:v>CARE_TIN_WATER_POUR</x:v>
      </x:c>
      <x:c r="B34" s="13" t="str">
        <x:v>1-4</x:v>
      </x:c>
      <x:c r="C34" s="13" t="str">
        <x:v>Foley</x:v>
      </x:c>
      <x:c r="D34" s="13" t="str">
        <x:v>Patient Care</x:v>
      </x:c>
      <x:c r="E34" s="13" t="str">
        <x:v>Pour water into tin cup</x:v>
      </x:c>
      <x:c r="F34" s="13" t="n">
        <x:v>4</x:v>
      </x:c>
      <x:c r="G34" s="13" t="str">
        <x:v>2s</x:v>
      </x:c>
      <x:c r="H34" s="13" t="str">
        <x:v>No</x:v>
      </x:c>
      <x:c r="I34" s="13" t="str">
        <x:v>P0</x:v>
      </x:c>
      <x:c r="J34" s="13" t="str">
        <x:v>Record real foley</x:v>
      </x:c>
      <x:c r="K34" s="13" t="str">
        <x:v>Tin cup + water + mic</x:v>
      </x:c>
      <x:c r="L34" s="13" t="str">
        <x:v>SFX_Foley</x:v>
      </x:c>
      <x:c r="M34" s="13" t="str">
        <x:v>care.water.pour_tin</x:v>
      </x:c>
      <x:c r="N34" s="13" t="str">
        <x:v>Water poured into small tin cup, liquid sound plus tin resonance, close-mic, isolated.</x:v>
      </x:c>
      <x:c r="O34" s="13" t="str">
        <x:v>The tin timbre identifies the cabin care palette.</x:v>
      </x:c>
      <x:c r="P34" s="13" t="str">
        <x:v>Not started</x:v>
      </x:c>
      <x:c r="Q34" s="13" t="str"/>
      <x:c r="R34" s="13" t="n">
        <x:v>33</x:v>
      </x:c>
    </x:row>
    <x:row r="35" ht="64" customHeight="1">
      <x:c r="A35" s="13" t="str">
        <x:v>CARE_PATIENT_DRINK_SWALLOW</x:v>
      </x:c>
      <x:c r="B35" s="13" t="str">
        <x:v>1-4</x:v>
      </x:c>
      <x:c r="C35" s="13" t="str">
        <x:v>Foley</x:v>
      </x:c>
      <x:c r="D35" s="13" t="str">
        <x:v>Patient Care</x:v>
      </x:c>
      <x:c r="E35" s="13" t="str">
        <x:v>Cup to patient's lips / swallow</x:v>
      </x:c>
      <x:c r="F35" s="13" t="n">
        <x:v>4</x:v>
      </x:c>
      <x:c r="G35" s="13" t="str">
        <x:v>3s</x:v>
      </x:c>
      <x:c r="H35" s="13" t="str">
        <x:v>No</x:v>
      </x:c>
      <x:c r="I35" s="13" t="str">
        <x:v>P0</x:v>
      </x:c>
      <x:c r="J35" s="13" t="str">
        <x:v>Record real foley</x:v>
      </x:c>
      <x:c r="K35" s="13" t="str">
        <x:v>Clean human swallow recording</x:v>
      </x:c>
      <x:c r="L35" s="13" t="str">
        <x:v>SFX_Foley</x:v>
      </x:c>
      <x:c r="M35" s="13" t="str">
        <x:v>care.patient.drink</x:v>
      </x:c>
      <x:c r="N35" s="13" t="str">
        <x:v>Tin cup lifted to patient's lips, faint small swallow, cup lowered, intimate close-mic, restrained, no theatrical breath.</x:v>
      </x:c>
      <x:c r="O35" s="13" t="str">
        <x:v>Do not rely on AI if generated sounds too performed. Needs intimacy.</x:v>
      </x:c>
      <x:c r="P35" s="13" t="str">
        <x:v>Not started</x:v>
      </x:c>
      <x:c r="Q35" s="13" t="str"/>
      <x:c r="R35" s="13" t="n">
        <x:v>34</x:v>
      </x:c>
    </x:row>
    <x:row r="36" ht="64" customHeight="1">
      <x:c r="A36" s="13" t="str">
        <x:v>CARE_TIN_CUP_SETDOWN</x:v>
      </x:c>
      <x:c r="B36" s="13" t="str">
        <x:v>1-4</x:v>
      </x:c>
      <x:c r="C36" s="13" t="str">
        <x:v>Foley</x:v>
      </x:c>
      <x:c r="D36" s="13" t="str">
        <x:v>Patient Care</x:v>
      </x:c>
      <x:c r="E36" s="13" t="str">
        <x:v>Tin cup set down on bedside table</x:v>
      </x:c>
      <x:c r="F36" s="13" t="n">
        <x:v>4</x:v>
      </x:c>
      <x:c r="G36" s="13" t="str">
        <x:v>0.5-1s</x:v>
      </x:c>
      <x:c r="H36" s="13" t="str">
        <x:v>No</x:v>
      </x:c>
      <x:c r="I36" s="13" t="str">
        <x:v>P0</x:v>
      </x:c>
      <x:c r="J36" s="13" t="str">
        <x:v>Record real foley</x:v>
      </x:c>
      <x:c r="K36" s="13" t="str">
        <x:v>Tin cup + wood</x:v>
      </x:c>
      <x:c r="L36" s="13" t="str">
        <x:v>SFX_Foley</x:v>
      </x:c>
      <x:c r="M36" s="13" t="str">
        <x:v>care.cup.set_down</x:v>
      </x:c>
      <x:c r="N36" s="13" t="str">
        <x:v>Tin cup set down on wooden bedside table, small clink and wood resonance, close-mic.</x:v>
      </x:c>
      <x:c r="O36" s="13" t="str">
        <x:v>Use in water and administration sequences.</x:v>
      </x:c>
      <x:c r="P36" s="13" t="str">
        <x:v>Not started</x:v>
      </x:c>
      <x:c r="Q36" s="13" t="str"/>
      <x:c r="R36" s="13" t="n">
        <x:v>35</x:v>
      </x:c>
    </x:row>
    <x:row r="37" ht="64" customHeight="1">
      <x:c r="A37" s="13" t="str">
        <x:v>CARE_BLANKET_ADJUST</x:v>
      </x:c>
      <x:c r="B37" s="13" t="str">
        <x:v>1-4</x:v>
      </x:c>
      <x:c r="C37" s="13" t="str">
        <x:v>Foley</x:v>
      </x:c>
      <x:c r="D37" s="13" t="str">
        <x:v>Patient Care</x:v>
      </x:c>
      <x:c r="E37" s="13" t="str">
        <x:v>Adjust quilt/blanket</x:v>
      </x:c>
      <x:c r="F37" s="13" t="n">
        <x:v>6</x:v>
      </x:c>
      <x:c r="G37" s="13" t="str">
        <x:v>1-2s</x:v>
      </x:c>
      <x:c r="H37" s="13" t="str">
        <x:v>No</x:v>
      </x:c>
      <x:c r="I37" s="13" t="str">
        <x:v>P0</x:v>
      </x:c>
      <x:c r="J37" s="13" t="str">
        <x:v>Record real foley</x:v>
      </x:c>
      <x:c r="K37" s="13" t="str">
        <x:v>Quilt/wool blanket + mic</x:v>
      </x:c>
      <x:c r="L37" s="13" t="str">
        <x:v>SFX_Foley</x:v>
      </x:c>
      <x:c r="M37" s="13" t="str">
        <x:v>care.blanket.adjust</x:v>
      </x:c>
      <x:c r="N37" s="13" t="str">
        <x:v>Heavier quilt cloth rustle as blanket is adjusted over patient, close-mic, intimate, restrained.</x:v>
      </x:c>
      <x:c r="O37" s="13" t="str">
        <x:v>Separate from Kalev clothing; heavier cotton/wool texture.</x:v>
      </x:c>
      <x:c r="P37" s="13" t="str">
        <x:v>Not started</x:v>
      </x:c>
      <x:c r="Q37" s="13" t="str"/>
      <x:c r="R37" s="13" t="n">
        <x:v>36</x:v>
      </x:c>
    </x:row>
    <x:row r="38" ht="64" customHeight="1">
      <x:c r="A38" s="13" t="str">
        <x:v>CARE_FOREHEAD_TOUCH</x:v>
      </x:c>
      <x:c r="B38" s="13" t="str">
        <x:v>1-4</x:v>
      </x:c>
      <x:c r="C38" s="13" t="str">
        <x:v>Foley</x:v>
      </x:c>
      <x:c r="D38" s="13" t="str">
        <x:v>Patient Care</x:v>
      </x:c>
      <x:c r="E38" s="13" t="str">
        <x:v>Hand to forehead fever check</x:v>
      </x:c>
      <x:c r="F38" s="13" t="n">
        <x:v>3</x:v>
      </x:c>
      <x:c r="G38" s="13" t="str">
        <x:v>0.5-1s</x:v>
      </x:c>
      <x:c r="H38" s="13" t="str">
        <x:v>No</x:v>
      </x:c>
      <x:c r="I38" s="13" t="str">
        <x:v>P1</x:v>
      </x:c>
      <x:c r="J38" s="13" t="str">
        <x:v>Record real foley</x:v>
      </x:c>
      <x:c r="K38" s="13" t="str">
        <x:v>Skin/clothing close mic</x:v>
      </x:c>
      <x:c r="L38" s="13" t="str">
        <x:v>SFX_Foley</x:v>
      </x:c>
      <x:c r="M38" s="13" t="str">
        <x:v>care.fever.check</x:v>
      </x:c>
      <x:c r="N38" s="13" t="str">
        <x:v>Very subtle skin-on-skin and sleeve movement of hand pressed to forehead, almost inaudible, close-mic.</x:v>
      </x:c>
      <x:c r="O38" s="13" t="str">
        <x:v>Cue action happened, not foreground sound.</x:v>
      </x:c>
      <x:c r="P38" s="13" t="str">
        <x:v>Not started</x:v>
      </x:c>
      <x:c r="Q38" s="13" t="str"/>
      <x:c r="R38" s="13" t="n">
        <x:v>37</x:v>
      </x:c>
    </x:row>
    <x:row r="39" ht="64" customHeight="1">
      <x:c r="A39" s="13" t="str">
        <x:v>CARE_SPOON_BOWL</x:v>
      </x:c>
      <x:c r="B39" s="13" t="str">
        <x:v>2</x:v>
      </x:c>
      <x:c r="C39" s="13" t="str">
        <x:v>Foley</x:v>
      </x:c>
      <x:c r="D39" s="13" t="str">
        <x:v>Patient Care</x:v>
      </x:c>
      <x:c r="E39" s="13" t="str">
        <x:v>Spoon in bowl / porridge legacy</x:v>
      </x:c>
      <x:c r="F39" s="13" t="n">
        <x:v>4</x:v>
      </x:c>
      <x:c r="G39" s="13" t="str">
        <x:v>1-2s</x:v>
      </x:c>
      <x:c r="H39" s="13" t="str">
        <x:v>No</x:v>
      </x:c>
      <x:c r="I39" s="13" t="str">
        <x:v>P2</x:v>
      </x:c>
      <x:c r="J39" s="13" t="str">
        <x:v>Record or generate</x:v>
      </x:c>
      <x:c r="K39" s="13" t="str">
        <x:v>Wood spoon + ceramic bowl</x:v>
      </x:c>
      <x:c r="L39" s="13" t="str">
        <x:v>SFX_Foley</x:v>
      </x:c>
      <x:c r="M39" s="13" t="str">
        <x:v>care.spoon.bowl</x:v>
      </x:c>
      <x:c r="N39" s="13" t="str">
        <x:v>Wooden spoon scraping and tapping in ceramic bowl, close-mic, naturalistic.</x:v>
      </x:c>
      <x:c r="O39" s="13" t="str">
        <x:v>Keep only if a bowl interaction appears; active Act 2 is bread.</x:v>
      </x:c>
      <x:c r="P39" s="13" t="str">
        <x:v>Not started</x:v>
      </x:c>
      <x:c r="Q39" s="13" t="str"/>
      <x:c r="R39" s="13" t="n">
        <x:v>38</x:v>
      </x:c>
    </x:row>
    <x:row r="40" ht="64" customHeight="1">
      <x:c r="A40" s="13" t="str">
        <x:v>POUCH_OPEN</x:v>
      </x:c>
      <x:c r="B40" s="13" t="str">
        <x:v>1-5</x:v>
      </x:c>
      <x:c r="C40" s="13" t="str">
        <x:v>Foley</x:v>
      </x:c>
      <x:c r="D40" s="13" t="str">
        <x:v>Inventory</x:v>
      </x:c>
      <x:c r="E40" s="13" t="str">
        <x:v>Leather pouch opening</x:v>
      </x:c>
      <x:c r="F40" s="13" t="n">
        <x:v>4</x:v>
      </x:c>
      <x:c r="G40" s="13" t="str">
        <x:v>1s</x:v>
      </x:c>
      <x:c r="H40" s="13" t="str">
        <x:v>No</x:v>
      </x:c>
      <x:c r="I40" s="13" t="str">
        <x:v>P0</x:v>
      </x:c>
      <x:c r="J40" s="13" t="str">
        <x:v>Record real foley</x:v>
      </x:c>
      <x:c r="K40" s="13" t="str">
        <x:v>Leather pouch + mic</x:v>
      </x:c>
      <x:c r="L40" s="13" t="str">
        <x:v>UI_Diegetic</x:v>
      </x:c>
      <x:c r="M40" s="13" t="str">
        <x:v>inventory.pouch.open</x:v>
      </x:c>
      <x:c r="N40" s="13" t="str">
        <x:v>Small leather drawstring pouch opened, single pull of drawstring with leather creak, close-mic, isolated.</x:v>
      </x:c>
      <x:c r="O40" s="13" t="str">
        <x:v>Use for both inventory and tactile world interaction.</x:v>
      </x:c>
      <x:c r="P40" s="13" t="str">
        <x:v>Not started</x:v>
      </x:c>
      <x:c r="Q40" s="13" t="str"/>
      <x:c r="R40" s="13" t="n">
        <x:v>39</x:v>
      </x:c>
    </x:row>
    <x:row r="41" ht="64" customHeight="1">
      <x:c r="A41" s="13" t="str">
        <x:v>POUCH_ITEM_TAKE</x:v>
      </x:c>
      <x:c r="B41" s="13" t="str">
        <x:v>1-5</x:v>
      </x:c>
      <x:c r="C41" s="13" t="str">
        <x:v>Foley</x:v>
      </x:c>
      <x:c r="D41" s="13" t="str">
        <x:v>Inventory</x:v>
      </x:c>
      <x:c r="E41" s="13" t="str">
        <x:v>Take item from pouch</x:v>
      </x:c>
      <x:c r="F41" s="13" t="n">
        <x:v>4</x:v>
      </x:c>
      <x:c r="G41" s="13" t="str">
        <x:v>0.5-1s</x:v>
      </x:c>
      <x:c r="H41" s="13" t="str">
        <x:v>No</x:v>
      </x:c>
      <x:c r="I41" s="13" t="str">
        <x:v>P1</x:v>
      </x:c>
      <x:c r="J41" s="13" t="str">
        <x:v>Record real foley</x:v>
      </x:c>
      <x:c r="K41" s="13" t="str">
        <x:v>Leather pouch + small props</x:v>
      </x:c>
      <x:c r="L41" s="13" t="str">
        <x:v>UI_Diegetic</x:v>
      </x:c>
      <x:c r="M41" s="13" t="str">
        <x:v>inventory.pouch.take_item</x:v>
      </x:c>
      <x:c r="N41" s="13" t="str">
        <x:v>Small object retrieved from leather pouch, leather creak, slight item contact, close-mic.</x:v>
      </x:c>
      <x:c r="O41" s="13" t="str">
        <x:v>Record with vial/cork/stone variations.</x:v>
      </x:c>
      <x:c r="P41" s="13" t="str">
        <x:v>Not started</x:v>
      </x:c>
      <x:c r="Q41" s="13" t="str"/>
      <x:c r="R41" s="13" t="n">
        <x:v>40</x:v>
      </x:c>
    </x:row>
    <x:row r="42" ht="64" customHeight="1">
      <x:c r="A42" s="13" t="str">
        <x:v>POUCH_ITEM_PUT</x:v>
      </x:c>
      <x:c r="B42" s="13" t="str">
        <x:v>1-5</x:v>
      </x:c>
      <x:c r="C42" s="13" t="str">
        <x:v>Foley</x:v>
      </x:c>
      <x:c r="D42" s="13" t="str">
        <x:v>Inventory</x:v>
      </x:c>
      <x:c r="E42" s="13" t="str">
        <x:v>Put item into pouch</x:v>
      </x:c>
      <x:c r="F42" s="13" t="n">
        <x:v>4</x:v>
      </x:c>
      <x:c r="G42" s="13" t="str">
        <x:v>0.5-1s</x:v>
      </x:c>
      <x:c r="H42" s="13" t="str">
        <x:v>No</x:v>
      </x:c>
      <x:c r="I42" s="13" t="str">
        <x:v>P1</x:v>
      </x:c>
      <x:c r="J42" s="13" t="str">
        <x:v>Record real foley</x:v>
      </x:c>
      <x:c r="K42" s="13" t="str">
        <x:v>Leather pouch + small props</x:v>
      </x:c>
      <x:c r="L42" s="13" t="str">
        <x:v>UI_Diegetic</x:v>
      </x:c>
      <x:c r="M42" s="13" t="str">
        <x:v>inventory.pouch.put_item</x:v>
      </x:c>
      <x:c r="N42" s="13" t="str">
        <x:v>Small object placed into leather pouch, leather creak and muted object contact, close-mic.</x:v>
      </x:c>
      <x:c r="O42" s="13" t="str">
        <x:v>Reverse-ish but record separately for realism.</x:v>
      </x:c>
      <x:c r="P42" s="13" t="str">
        <x:v>Not started</x:v>
      </x:c>
      <x:c r="Q42" s="13" t="str"/>
      <x:c r="R42" s="13" t="n">
        <x:v>41</x:v>
      </x:c>
    </x:row>
    <x:row r="43" ht="64" customHeight="1">
      <x:c r="A43" s="13" t="str">
        <x:v>POUCH_CLOSE</x:v>
      </x:c>
      <x:c r="B43" s="13" t="str">
        <x:v>1-5</x:v>
      </x:c>
      <x:c r="C43" s="13" t="str">
        <x:v>Foley</x:v>
      </x:c>
      <x:c r="D43" s="13" t="str">
        <x:v>Inventory</x:v>
      </x:c>
      <x:c r="E43" s="13" t="str">
        <x:v>Leather pouch closing</x:v>
      </x:c>
      <x:c r="F43" s="13" t="n">
        <x:v>4</x:v>
      </x:c>
      <x:c r="G43" s="13" t="str">
        <x:v>1s</x:v>
      </x:c>
      <x:c r="H43" s="13" t="str">
        <x:v>No</x:v>
      </x:c>
      <x:c r="I43" s="13" t="str">
        <x:v>P0</x:v>
      </x:c>
      <x:c r="J43" s="13" t="str">
        <x:v>Record real foley</x:v>
      </x:c>
      <x:c r="K43" s="13" t="str">
        <x:v>Leather pouch + mic</x:v>
      </x:c>
      <x:c r="L43" s="13" t="str">
        <x:v>UI_Diegetic</x:v>
      </x:c>
      <x:c r="M43" s="13" t="str">
        <x:v>inventory.pouch.close</x:v>
      </x:c>
      <x:c r="N43" s="13" t="str">
        <x:v>Drawstring pulled tight on small leather pouch, small wood bead clack at the end if beads exist, close-mic.</x:v>
      </x:c>
      <x:c r="O43" s="13" t="str">
        <x:v>Good UX close cue.</x:v>
      </x:c>
      <x:c r="P43" s="13" t="str">
        <x:v>Not started</x:v>
      </x:c>
      <x:c r="Q43" s="13" t="str"/>
      <x:c r="R43" s="13" t="n">
        <x:v>42</x:v>
      </x:c>
    </x:row>
    <x:row r="44" ht="64" customHeight="1">
      <x:c r="A44" s="13" t="str">
        <x:v>WHEEL_SELECT_INGREDIENT</x:v>
      </x:c>
      <x:c r="B44" s="13" t="str">
        <x:v>3</x:v>
      </x:c>
      <x:c r="C44" s="13" t="str">
        <x:v>UI</x:v>
      </x:c>
      <x:c r="D44" s="13" t="str">
        <x:v>Tincture Wheel</x:v>
      </x:c>
      <x:c r="E44" s="13" t="str">
        <x:v>Select ingredient</x:v>
      </x:c>
      <x:c r="F44" s="13" t="n">
        <x:v>5</x:v>
      </x:c>
      <x:c r="G44" s="13" t="str">
        <x:v>0.2-0.5s</x:v>
      </x:c>
      <x:c r="H44" s="13" t="str">
        <x:v>No</x:v>
      </x:c>
      <x:c r="I44" s="13" t="str">
        <x:v>P0</x:v>
      </x:c>
      <x:c r="J44" s="13" t="str">
        <x:v>Hybrid generate+foley</x:v>
      </x:c>
      <x:c r="K44" s="13" t="str">
        <x:v>Glass clinks + DAW</x:v>
      </x:c>
      <x:c r="L44" s="13" t="str">
        <x:v>UI_Diegetic</x:v>
      </x:c>
      <x:c r="M44" s="13" t="str">
        <x:v>ui.tincture_wheel.select</x:v>
      </x:c>
      <x:c r="N44" s="13" t="str">
        <x:v>Small glass clink with light natural reverberation, clean attack and decay, diegetic material feel, no electronic click.</x:v>
      </x:c>
      <x:c r="O44" s="13" t="str">
        <x:v>Slightly stylized but still of the world.</x:v>
      </x:c>
      <x:c r="P44" s="13" t="str">
        <x:v>Not started</x:v>
      </x:c>
      <x:c r="Q44" s="13" t="str"/>
      <x:c r="R44" s="13" t="n">
        <x:v>43</x:v>
      </x:c>
    </x:row>
    <x:row r="45" ht="64" customHeight="1">
      <x:c r="A45" s="13" t="str">
        <x:v>WHEEL_CONFIRM_INGREDIENT</x:v>
      </x:c>
      <x:c r="B45" s="13" t="str">
        <x:v>3</x:v>
      </x:c>
      <x:c r="C45" s="13" t="str">
        <x:v>UI</x:v>
      </x:c>
      <x:c r="D45" s="13" t="str">
        <x:v>Tincture Wheel</x:v>
      </x:c>
      <x:c r="E45" s="13" t="str">
        <x:v>Confirm ingredient</x:v>
      </x:c>
      <x:c r="F45" s="13" t="n">
        <x:v>4</x:v>
      </x:c>
      <x:c r="G45" s="13" t="str">
        <x:v>0.2-0.5s</x:v>
      </x:c>
      <x:c r="H45" s="13" t="str">
        <x:v>No</x:v>
      </x:c>
      <x:c r="I45" s="13" t="str">
        <x:v>P0</x:v>
      </x:c>
      <x:c r="J45" s="13" t="str">
        <x:v>Hybrid generate+foley</x:v>
      </x:c>
      <x:c r="K45" s="13" t="str">
        <x:v>Wood tap + DAW</x:v>
      </x:c>
      <x:c r="L45" s="13" t="str">
        <x:v>UI_Diegetic</x:v>
      </x:c>
      <x:c r="M45" s="13" t="str">
        <x:v>ui.tincture_wheel.confirm</x:v>
      </x:c>
      <x:c r="N45" s="13" t="str">
        <x:v>Slightly warmer wooden tap, clean attack and decay, restrained, diegetic UI clarity.</x:v>
      </x:c>
      <x:c r="O45" s="13" t="str">
        <x:v>Differentiate selection/confirmation by material.</x:v>
      </x:c>
      <x:c r="P45" s="13" t="str">
        <x:v>Not started</x:v>
      </x:c>
      <x:c r="Q45" s="13" t="str"/>
      <x:c r="R45" s="13" t="n">
        <x:v>44</x:v>
      </x:c>
    </x:row>
    <x:row r="46" ht="64" customHeight="1">
      <x:c r="A46" s="13" t="str">
        <x:v>WHEEL_COMMIT_CRAFT</x:v>
      </x:c>
      <x:c r="B46" s="13" t="str">
        <x:v>3</x:v>
      </x:c>
      <x:c r="C46" s="13" t="str">
        <x:v>UI/Foley</x:v>
      </x:c>
      <x:c r="D46" s="13" t="str">
        <x:v>Tincture Wheel</x:v>
      </x:c>
      <x:c r="E46" s="13" t="str">
        <x:v>Commit craft</x:v>
      </x:c>
      <x:c r="F46" s="13" t="n">
        <x:v>3</x:v>
      </x:c>
      <x:c r="G46" s="13" t="str">
        <x:v>2s</x:v>
      </x:c>
      <x:c r="H46" s="13" t="str">
        <x:v>No</x:v>
      </x:c>
      <x:c r="I46" s="13" t="str">
        <x:v>P0</x:v>
      </x:c>
      <x:c r="J46" s="13" t="str">
        <x:v>Record + layer</x:v>
      </x:c>
      <x:c r="K46" s="13" t="str">
        <x:v>Breath + flint + DAW</x:v>
      </x:c>
      <x:c r="L46" s="13" t="str">
        <x:v>UI_Diegetic</x:v>
      </x:c>
      <x:c r="M46" s="13" t="str">
        <x:v>ui.tincture_wheel.commit</x:v>
      </x:c>
      <x:c r="N46" s="13" t="str">
        <x:v>Brief deliberate adult man exhale layered with flint-and-steel sparking to candle ignition, two second clip, naturalistic, slightly ritualistic without theatricality.</x:v>
      </x:c>
      <x:c r="O46" s="13" t="str">
        <x:v>This is a signature craft moment. Use same breath palette as Kalev.</x:v>
      </x:c>
      <x:c r="P46" s="13" t="str">
        <x:v>Not started</x:v>
      </x:c>
      <x:c r="Q46" s="13" t="str"/>
      <x:c r="R46" s="13" t="n">
        <x:v>45</x:v>
      </x:c>
    </x:row>
    <x:row r="47" ht="64" customHeight="1">
      <x:c r="A47" s="13" t="str">
        <x:v>WHEEL_FAILED_CRAFT_GLASS</x:v>
      </x:c>
      <x:c r="B47" s="13" t="str">
        <x:v>3</x:v>
      </x:c>
      <x:c r="C47" s="13" t="str">
        <x:v>UI/Foley</x:v>
      </x:c>
      <x:c r="D47" s="13" t="str">
        <x:v>Tincture Wheel</x:v>
      </x:c>
      <x:c r="E47" s="13" t="str">
        <x:v>Failed craft / flask cracks</x:v>
      </x:c>
      <x:c r="F47" s="13" t="n">
        <x:v>2</x:v>
      </x:c>
      <x:c r="G47" s="13" t="str">
        <x:v>2-3s</x:v>
      </x:c>
      <x:c r="H47" s="13" t="str">
        <x:v>No</x:v>
      </x:c>
      <x:c r="I47" s="13" t="str">
        <x:v>P1</x:v>
      </x:c>
      <x:c r="J47" s="13" t="str">
        <x:v>Generate + layer</x:v>
      </x:c>
      <x:c r="K47" s="13" t="str">
        <x:v>Glass crack + liquid spill</x:v>
      </x:c>
      <x:c r="L47" s="13" t="str">
        <x:v>SpecialEvents</x:v>
      </x:c>
      <x:c r="M47" s="13" t="str">
        <x:v>resolver.tincture.forced_miss</x:v>
      </x:c>
      <x:c r="N47" s="13" t="str">
        <x:v>Glass flask cracking, small liquid spill onto wood, restrained but unmistakable, close-mic, no music.</x:v>
      </x:c>
      <x:c r="O47" s="13" t="str">
        <x:v>Only for forced-Miss outcome if it lands; do not use as generic fail.</x:v>
      </x:c>
      <x:c r="P47" s="13" t="str">
        <x:v>Not started</x:v>
      </x:c>
      <x:c r="Q47" s="13" t="str"/>
      <x:c r="R47" s="13" t="n">
        <x:v>46</x:v>
      </x:c>
    </x:row>
    <x:row r="48" ht="64" customHeight="1">
      <x:c r="A48" s="13" t="str">
        <x:v>DEATH_ADMINISTRATION_MATCH</x:v>
      </x:c>
      <x:c r="B48" s="13" t="str">
        <x:v>4</x:v>
      </x:c>
      <x:c r="C48" s="13" t="str">
        <x:v>Special</x:v>
      </x:c>
      <x:c r="D48" s="13" t="str">
        <x:v>Mother Death</x:v>
      </x:c>
      <x:c r="E48" s="13" t="str">
        <x:v>Administration matching normal care</x:v>
      </x:c>
      <x:c r="F48" s="13" t="n">
        <x:v>1</x:v>
      </x:c>
      <x:c r="G48" s="13" t="str">
        <x:v>3s</x:v>
      </x:c>
      <x:c r="H48" s="13" t="str">
        <x:v>No</x:v>
      </x:c>
      <x:c r="I48" s="13" t="str">
        <x:v>P0</x:v>
      </x:c>
      <x:c r="J48" s="13" t="str">
        <x:v>Use existing care assets</x:v>
      </x:c>
      <x:c r="K48" s="13" t="str">
        <x:v>DAW arrangement</x:v>
      </x:c>
      <x:c r="L48" s="13" t="str">
        <x:v>SpecialEvents</x:v>
      </x:c>
      <x:c r="M48" s="13" t="str">
        <x:v>care.tincture.administer.act4</x:v>
      </x:c>
      <x:c r="N48" s="13" t="str">
        <x:v>Use the same cup-to-patient palette as normal care: tin cup, faint swallow, restrained touch. No new emotional signifier.</x:v>
      </x:c>
      <x:c r="O48" s="13" t="str">
        <x:v>Player should not know this is different yet.</x:v>
      </x:c>
      <x:c r="P48" s="13" t="str">
        <x:v>Not started</x:v>
      </x:c>
      <x:c r="Q48" s="13" t="str"/>
      <x:c r="R48" s="13" t="n">
        <x:v>47</x:v>
      </x:c>
    </x:row>
    <x:row r="49" ht="64" customHeight="1">
      <x:c r="A49" s="13" t="str">
        <x:v>ANNA_BREATH_RALLY_STOP</x:v>
      </x:c>
      <x:c r="B49" s="13" t="str">
        <x:v>4</x:v>
      </x:c>
      <x:c r="C49" s="13" t="str">
        <x:v>Special</x:v>
      </x:c>
      <x:c r="D49" s="13" t="str">
        <x:v>Mother Death</x:v>
      </x:c>
      <x:c r="E49" s="13" t="str">
        <x:v>Breath transition / rally / stop</x:v>
      </x:c>
      <x:c r="F49" s="13" t="n">
        <x:v>1</x:v>
      </x:c>
      <x:c r="G49" s="13" t="str">
        <x:v>15s</x:v>
      </x:c>
      <x:c r="H49" s="13" t="str">
        <x:v>No</x:v>
      </x:c>
      <x:c r="I49" s="13" t="str">
        <x:v>P0</x:v>
      </x:c>
      <x:c r="J49" s="13" t="str">
        <x:v>Record real foley</x:v>
      </x:c>
      <x:c r="K49" s="13" t="str">
        <x:v>Actor/foley + DAW</x:v>
      </x:c>
      <x:c r="L49" s="13" t="str">
        <x:v>SpecialEvents</x:v>
      </x:c>
      <x:c r="M49" s="13" t="str">
        <x:v>death.mother.breath_transition</x:v>
      </x:c>
      <x:c r="N49" s="13" t="str">
        <x:v>Dying woman's breath transition, begins labored 4s cycle, shifts to slightly easier 3s cycle for brief rally, becomes ragged and uneven, stops on final longer softer exhale, restrained naturalistic.</x:v>
      </x:c>
      <x:c r="O49" s="13" t="str">
        <x:v>Emotionally load-bearing. Record, do not overperform. Mix with ambient continuing.</x:v>
      </x:c>
      <x:c r="P49" s="13" t="str">
        <x:v>Not started</x:v>
      </x:c>
      <x:c r="Q49" s="13" t="str"/>
      <x:c r="R49" s="13" t="n">
        <x:v>48</x:v>
      </x:c>
    </x:row>
    <x:row r="50" ht="64" customHeight="1">
      <x:c r="A50" s="13" t="str">
        <x:v>ANNA_BREATH_LAYER_STOP</x:v>
      </x:c>
      <x:c r="B50" s="13" t="str">
        <x:v>4</x:v>
      </x:c>
      <x:c r="C50" s="13" t="str">
        <x:v>Special</x:v>
      </x:c>
      <x:c r="D50" s="13" t="str">
        <x:v>Mix Automation</x:v>
      </x:c>
      <x:c r="E50" s="13" t="str">
        <x:v>Cessation silence — breath layer stops</x:v>
      </x:c>
      <x:c r="F50" s="13" t="n">
        <x:v>1</x:v>
      </x:c>
      <x:c r="G50" s="13" t="str">
        <x:v>mix decision</x:v>
      </x:c>
      <x:c r="H50" s="13" t="str">
        <x:v>No</x:v>
      </x:c>
      <x:c r="I50" s="13" t="str">
        <x:v>P0</x:v>
      </x:c>
      <x:c r="J50" s="13" t="str">
        <x:v>Mix automation</x:v>
      </x:c>
      <x:c r="K50" s="13" t="str">
        <x:v>Godot bus automation</x:v>
      </x:c>
      <x:c r="L50" s="13" t="str">
        <x:v>SpecialEvents</x:v>
      </x:c>
      <x:c r="M50" s="13" t="str">
        <x:v>death.mother</x:v>
      </x:c>
      <x:c r="N50" s="13" t="str">
        <x:v>No generated sound. Stop Anna breath layer. Hearth and clock continue.</x:v>
      </x:c>
      <x:c r="O50" s="13" t="str">
        <x:v>Fade breath out naturally with last exhale; no sting, no chord.</x:v>
      </x:c>
      <x:c r="P50" s="13" t="str">
        <x:v>Not started</x:v>
      </x:c>
      <x:c r="Q50" s="13" t="str"/>
      <x:c r="R50" s="13" t="n">
        <x:v>49</x:v>
      </x:c>
    </x:row>
    <x:row r="51" ht="64" customHeight="1">
      <x:c r="A51" s="13" t="str">
        <x:v>NOTEBOOK_ANNA_NAME_WRITE</x:v>
      </x:c>
      <x:c r="B51" s="13" t="str">
        <x:v>4</x:v>
      </x:c>
      <x:c r="C51" s="13" t="str">
        <x:v>Special</x:v>
      </x:c>
      <x:c r="D51" s="13" t="str">
        <x:v>Notebook</x:v>
      </x:c>
      <x:c r="E51" s="13" t="str">
        <x:v>Notebook writes Anna's name</x:v>
      </x:c>
      <x:c r="F51" s="13" t="n">
        <x:v>1</x:v>
      </x:c>
      <x:c r="G51" s="13" t="str">
        <x:v>4s</x:v>
      </x:c>
      <x:c r="H51" s="13" t="str">
        <x:v>No</x:v>
      </x:c>
      <x:c r="I51" s="13" t="str">
        <x:v>P0</x:v>
      </x:c>
      <x:c r="J51" s="13" t="str">
        <x:v>Record + layer</x:v>
      </x:c>
      <x:c r="K51" s="13" t="str">
        <x:v>Pencil + breath + DAW</x:v>
      </x:c>
      <x:c r="L51" s="13" t="str">
        <x:v>SpecialEvents</x:v>
      </x:c>
      <x:c r="M51" s="13" t="str">
        <x:v>notebook.write_name.mother</x:v>
      </x:c>
      <x:c r="N51" s="13" t="str">
        <x:v>Pencil writing single short name on paper slowly with deliberation, including one barely audible soft choke of held breath from adult man between two strokes, intimate, close-mic.</x:v>
      </x:c>
      <x:c r="O51" s="13" t="str">
        <x:v>Only unmistakable grief sound from Kalev in opening slice.</x:v>
      </x:c>
      <x:c r="P51" s="13" t="str">
        <x:v>Not started</x:v>
      </x:c>
      <x:c r="Q51" s="13" t="str"/>
      <x:c r="R51" s="13" t="n">
        <x:v>50</x:v>
      </x:c>
    </x:row>
    <x:row r="52" ht="64" customHeight="1">
      <x:c r="A52" s="13" t="str">
        <x:v>WOLF_FIRST_DISTANT_HOWL</x:v>
      </x:c>
      <x:c r="B52" s="13" t="str">
        <x:v>5</x:v>
      </x:c>
      <x:c r="C52" s="13" t="str">
        <x:v>Creature</x:v>
      </x:c>
      <x:c r="D52" s="13" t="str">
        <x:v>Wolf Arrival</x:v>
      </x:c>
      <x:c r="E52" s="13" t="str">
        <x:v>First howl — far</x:v>
      </x:c>
      <x:c r="F52" s="13" t="n">
        <x:v>3</x:v>
      </x:c>
      <x:c r="G52" s="13" t="str">
        <x:v>4s</x:v>
      </x:c>
      <x:c r="H52" s="13" t="str">
        <x:v>No</x:v>
      </x:c>
      <x:c r="I52" s="13" t="str">
        <x:v>P0</x:v>
      </x:c>
      <x:c r="J52" s="13" t="str">
        <x:v>Source library</x:v>
      </x:c>
      <x:c r="K52" s="13" t="str">
        <x:v>Freesound/library real wolf</x:v>
      </x:c>
      <x:c r="L52" s="13" t="str">
        <x:v>Creature</x:v>
      </x:c>
      <x:c r="M52" s="13" t="str">
        <x:v>encounter.wolves.first_howl</x:v>
      </x:c>
      <x:c r="N52" s="13" t="str">
        <x:v>Single timber wolf howl heard very far away across cold late autumn Michigan landscape at dusk, distant perspective with natural open-distance reverb, mournful low pitch, single voice.</x:v>
      </x:c>
      <x:c r="O52" s="13" t="str">
        <x:v>Use real wolf if licensing allows. This breaks silence, not a stinger.</x:v>
      </x:c>
      <x:c r="P52" s="13" t="str">
        <x:v>Not started</x:v>
      </x:c>
      <x:c r="Q52" s="13" t="str"/>
      <x:c r="R52" s="13" t="n">
        <x:v>51</x:v>
      </x:c>
    </x:row>
    <x:row r="53" ht="64" customHeight="1">
      <x:c r="A53" s="13" t="str">
        <x:v>WOLF_RESPONSE_CLOSER_HOWL</x:v>
      </x:c>
      <x:c r="B53" s="13" t="str">
        <x:v>5</x:v>
      </x:c>
      <x:c r="C53" s="13" t="str">
        <x:v>Creature</x:v>
      </x:c>
      <x:c r="D53" s="13" t="str">
        <x:v>Wolf Arrival</x:v>
      </x:c>
      <x:c r="E53" s="13" t="str">
        <x:v>Second howl — closer response</x:v>
      </x:c>
      <x:c r="F53" s="13" t="n">
        <x:v>3</x:v>
      </x:c>
      <x:c r="G53" s="13" t="str">
        <x:v>3s</x:v>
      </x:c>
      <x:c r="H53" s="13" t="str">
        <x:v>No</x:v>
      </x:c>
      <x:c r="I53" s="13" t="str">
        <x:v>P0</x:v>
      </x:c>
      <x:c r="J53" s="13" t="str">
        <x:v>Source library</x:v>
      </x:c>
      <x:c r="K53" s="13" t="str">
        <x:v>Freesound/library real wolf</x:v>
      </x:c>
      <x:c r="L53" s="13" t="str">
        <x:v>Creature</x:v>
      </x:c>
      <x:c r="M53" s="13" t="str">
        <x:v>encounter.wolves.response_howl</x:v>
      </x:c>
      <x:c r="N53" s="13" t="str">
        <x:v>Single timber wolf howl from medium distance, perhaps quarter mile, cold late autumn forest at dusk, less reverb, slightly higher pitched different wolf.</x:v>
      </x:c>
      <x:c r="O53" s="13" t="str">
        <x:v>Communicates pack presence. Do not make it a chorus.</x:v>
      </x:c>
      <x:c r="P53" s="13" t="str">
        <x:v>Not started</x:v>
      </x:c>
      <x:c r="Q53" s="13" t="str"/>
      <x:c r="R53" s="13" t="n">
        <x:v>52</x:v>
      </x:c>
    </x:row>
    <x:row r="54" ht="64" customHeight="1">
      <x:c r="A54" s="13" t="str">
        <x:v>WOLF_DOOR_CLAW_SCRAPE</x:v>
      </x:c>
      <x:c r="B54" s="13" t="str">
        <x:v>5</x:v>
      </x:c>
      <x:c r="C54" s="13" t="str">
        <x:v>Creature</x:v>
      </x:c>
      <x:c r="D54" s="13" t="str">
        <x:v>Wolf Door</x:v>
      </x:c>
      <x:c r="E54" s="13" t="str">
        <x:v>Claw scrape on cabin door</x:v>
      </x:c>
      <x:c r="F54" s="13" t="n">
        <x:v>5</x:v>
      </x:c>
      <x:c r="G54" s="13" t="str">
        <x:v>1s</x:v>
      </x:c>
      <x:c r="H54" s="13" t="str">
        <x:v>No</x:v>
      </x:c>
      <x:c r="I54" s="13" t="str">
        <x:v>P0</x:v>
      </x:c>
      <x:c r="J54" s="13" t="str">
        <x:v>Generate + foley</x:v>
      </x:c>
      <x:c r="K54" s="13" t="str">
        <x:v>Wood scrape + claws</x:v>
      </x:c>
      <x:c r="L54" s="13" t="str">
        <x:v>Creature</x:v>
      </x:c>
      <x:c r="M54" s="13" t="str">
        <x:v>encounter.wolves.door_claw</x:v>
      </x:c>
      <x:c r="N54" s="13" t="str">
        <x:v>Claws scraping against heavy wooden cabin door, close perspective with muffled exterior perspective, isolated one-second clip.</x:v>
      </x:c>
      <x:c r="O54" s="13" t="str">
        <x:v>Repeat sparingly with randomized spacing.</x:v>
      </x:c>
      <x:c r="P54" s="13" t="str">
        <x:v>Not started</x:v>
      </x:c>
      <x:c r="Q54" s="13" t="str"/>
      <x:c r="R54" s="13" t="n">
        <x:v>53</x:v>
      </x:c>
    </x:row>
    <x:row r="55" ht="64" customHeight="1">
      <x:c r="A55" s="13" t="str">
        <x:v>WOLF_DOOR_GROWL</x:v>
      </x:c>
      <x:c r="B55" s="13" t="str">
        <x:v>5</x:v>
      </x:c>
      <x:c r="C55" s="13" t="str">
        <x:v>Creature</x:v>
      </x:c>
      <x:c r="D55" s="13" t="str">
        <x:v>Wolf Door</x:v>
      </x:c>
      <x:c r="E55" s="13" t="str">
        <x:v>Growl through door</x:v>
      </x:c>
      <x:c r="F55" s="13" t="n">
        <x:v>4</x:v>
      </x:c>
      <x:c r="G55" s="13" t="str">
        <x:v>2s</x:v>
      </x:c>
      <x:c r="H55" s="13" t="str">
        <x:v>No</x:v>
      </x:c>
      <x:c r="I55" s="13" t="str">
        <x:v>P0</x:v>
      </x:c>
      <x:c r="J55" s="13" t="str">
        <x:v>Source library + filter</x:v>
      </x:c>
      <x:c r="K55" s="13" t="str">
        <x:v>Real wolf/dog growl + DAW</x:v>
      </x:c>
      <x:c r="L55" s="13" t="str">
        <x:v>Creature</x:v>
      </x:c>
      <x:c r="M55" s="13" t="str">
        <x:v>encounter.wolves.door_growl</x:v>
      </x:c>
      <x:c r="N55" s="13" t="str">
        <x:v>Single timber wolf growl heard close through wooden cabin door, low threatening continuous growl with audible breath, slight muffling as if heard through wood, predatory not barky.</x:v>
      </x:c>
      <x:c r="O55" s="13" t="str">
        <x:v>High-pass/low-pass for door occlusion.</x:v>
      </x:c>
      <x:c r="P55" s="13" t="str">
        <x:v>Not started</x:v>
      </x:c>
      <x:c r="Q55" s="13" t="str"/>
      <x:c r="R55" s="13" t="n">
        <x:v>54</x:v>
      </x:c>
    </x:row>
    <x:row r="56" ht="64" customHeight="1">
      <x:c r="A56" s="13" t="str">
        <x:v>WOLF_DOOR_SNIFF</x:v>
      </x:c>
      <x:c r="B56" s="13" t="str">
        <x:v>5</x:v>
      </x:c>
      <x:c r="C56" s="13" t="str">
        <x:v>Creature</x:v>
      </x:c>
      <x:c r="D56" s="13" t="str">
        <x:v>Wolf Door</x:v>
      </x:c>
      <x:c r="E56" s="13" t="str">
        <x:v>Sniff at door-crack</x:v>
      </x:c>
      <x:c r="F56" s="13" t="n">
        <x:v>4</x:v>
      </x:c>
      <x:c r="G56" s="13" t="str">
        <x:v>1s</x:v>
      </x:c>
      <x:c r="H56" s="13" t="str">
        <x:v>No</x:v>
      </x:c>
      <x:c r="I56" s="13" t="str">
        <x:v>P0</x:v>
      </x:c>
      <x:c r="J56" s="13" t="str">
        <x:v>Record/generate</x:v>
      </x:c>
      <x:c r="K56" s="13" t="str">
        <x:v>Breath/sniff foley + DAW</x:v>
      </x:c>
      <x:c r="L56" s="13" t="str">
        <x:v>Creature</x:v>
      </x:c>
      <x:c r="M56" s="13" t="str">
        <x:v>encounter.wolves.door_sniff</x:v>
      </x:c>
      <x:c r="N56" s="13" t="str">
        <x:v>Wet animal breath sniffing at door crack, brief, close, slightly muffled by wood, no bark.</x:v>
      </x:c>
      <x:c r="O56" s="13" t="str">
        <x:v>Intimate and threatening; small sound in near silence.</x:v>
      </x:c>
      <x:c r="P56" s="13" t="str">
        <x:v>Not started</x:v>
      </x:c>
      <x:c r="Q56" s="13" t="str"/>
      <x:c r="R56" s="13" t="n">
        <x:v>55</x:v>
      </x:c>
    </x:row>
    <x:row r="57" ht="64" customHeight="1">
      <x:c r="A57" s="13" t="str">
        <x:v>WOLF_PACING_YARD_LOOP</x:v>
      </x:c>
      <x:c r="B57" s="13" t="str">
        <x:v>5</x:v>
      </x:c>
      <x:c r="C57" s="13" t="str">
        <x:v>Creature</x:v>
      </x:c>
      <x:c r="D57" s="13" t="str">
        <x:v>Wolf Door</x:v>
      </x:c>
      <x:c r="E57" s="13" t="str">
        <x:v>Pacing claws on hard-packed dirt</x:v>
      </x:c>
      <x:c r="F57" s="13" t="n">
        <x:v>4</x:v>
      </x:c>
      <x:c r="G57" s="13" t="str">
        <x:v>4-8s loop</x:v>
      </x:c>
      <x:c r="H57" s="13" t="str">
        <x:v>Yes</x:v>
      </x:c>
      <x:c r="I57" s="13" t="str">
        <x:v>P0</x:v>
      </x:c>
      <x:c r="J57" s="13" t="str">
        <x:v>Generate + foley</x:v>
      </x:c>
      <x:c r="K57" s="13" t="str">
        <x:v>Foley claws + dirt</x:v>
      </x:c>
      <x:c r="L57" s="13" t="str">
        <x:v>Creature</x:v>
      </x:c>
      <x:c r="M57" s="13" t="str">
        <x:v>encounter.wolves.pacing_loop</x:v>
      </x:c>
      <x:c r="N57" s="13" t="str">
        <x:v>Clawed animal feet pacing on hard-packed dirt with sparse dry leaves outside a cabin, close/mid perspective, loopable, restrained.</x:v>
      </x:c>
      <x:c r="O57" s="13" t="str">
        <x:v>Spatialized outside door. Fade before combat break.</x:v>
      </x:c>
      <x:c r="P57" s="13" t="str">
        <x:v>Not started</x:v>
      </x:c>
      <x:c r="Q57" s="13" t="str"/>
      <x:c r="R57" s="13" t="n">
        <x:v>56</x:v>
      </x:c>
    </x:row>
    <x:row r="58" ht="64" customHeight="1">
      <x:c r="A58" s="13" t="str">
        <x:v>WOLF_LUNGE_SNARL</x:v>
      </x:c>
      <x:c r="B58" s="13" t="str">
        <x:v>5</x:v>
      </x:c>
      <x:c r="C58" s="13" t="str">
        <x:v>Creature</x:v>
      </x:c>
      <x:c r="D58" s="13" t="str">
        <x:v>Combat Wolf</x:v>
      </x:c>
      <x:c r="E58" s="13" t="str">
        <x:v>Lunge bark/snarl</x:v>
      </x:c>
      <x:c r="F58" s="13" t="n">
        <x:v>6</x:v>
      </x:c>
      <x:c r="G58" s="13" t="str">
        <x:v>1-1.5s</x:v>
      </x:c>
      <x:c r="H58" s="13" t="str">
        <x:v>No</x:v>
      </x:c>
      <x:c r="I58" s="13" t="str">
        <x:v>P0</x:v>
      </x:c>
      <x:c r="J58" s="13" t="str">
        <x:v>Source library</x:v>
      </x:c>
      <x:c r="K58" s="13" t="str">
        <x:v>Real wolf library</x:v>
      </x:c>
      <x:c r="L58" s="13" t="str">
        <x:v>Creature</x:v>
      </x:c>
      <x:c r="M58" s="13" t="str">
        <x:v>combat.wolf.lunge</x:v>
      </x:c>
      <x:c r="N58" s="13" t="str">
        <x:v>Timber wolf lunge snarl during attack, sharp aggressive vocalization with bared teeth and breath, close perspective, predatory not pet dog, isolated.</x:v>
      </x:c>
      <x:c r="O58" s="13" t="str">
        <x:v>Trigger at attack windup/impact start. Avoid domestic dog tone.</x:v>
      </x:c>
      <x:c r="P58" s="13" t="str">
        <x:v>Not started</x:v>
      </x:c>
      <x:c r="Q58" s="13" t="str"/>
      <x:c r="R58" s="13" t="n">
        <x:v>57</x:v>
      </x:c>
    </x:row>
    <x:row r="59" ht="64" customHeight="1">
      <x:c r="A59" s="13" t="str">
        <x:v>WOLF_JAW_SNAP</x:v>
      </x:c>
      <x:c r="B59" s="13" t="str">
        <x:v>5</x:v>
      </x:c>
      <x:c r="C59" s="13" t="str">
        <x:v>Creature</x:v>
      </x:c>
      <x:c r="D59" s="13" t="str">
        <x:v>Combat Wolf</x:v>
      </x:c>
      <x:c r="E59" s="13" t="str">
        <x:v>Snapping jaws / bite miss</x:v>
      </x:c>
      <x:c r="F59" s="13" t="n">
        <x:v>6</x:v>
      </x:c>
      <x:c r="G59" s="13" t="str">
        <x:v>0.3-0.8s</x:v>
      </x:c>
      <x:c r="H59" s="13" t="str">
        <x:v>No</x:v>
      </x:c>
      <x:c r="I59" s="13" t="str">
        <x:v>P0</x:v>
      </x:c>
      <x:c r="J59" s="13" t="str">
        <x:v>Foley + library</x:v>
      </x:c>
      <x:c r="K59" s="13" t="str">
        <x:v>Teeth/clack foley + DAW</x:v>
      </x:c>
      <x:c r="L59" s="13" t="str">
        <x:v>Creature</x:v>
      </x:c>
      <x:c r="M59" s="13" t="str">
        <x:v>combat.wolf.jaw_snap</x:v>
      </x:c>
      <x:c r="N59" s="13" t="str">
        <x:v>Sharp animal teeth clacking together as jaws snap at air, close perspective, isolated, with small breath detail.</x:v>
      </x:c>
      <x:c r="O59" s="13" t="str">
        <x:v>Use on misses/near-misses. Keep short and dry.</x:v>
      </x:c>
      <x:c r="P59" s="13" t="str">
        <x:v>Not started</x:v>
      </x:c>
      <x:c r="Q59" s="13" t="str"/>
      <x:c r="R59" s="13" t="n">
        <x:v>58</x:v>
      </x:c>
    </x:row>
    <x:row r="60" ht="64" customHeight="1">
      <x:c r="A60" s="13" t="str">
        <x:v>WOLF_YELP_HIT</x:v>
      </x:c>
      <x:c r="B60" s="13" t="str">
        <x:v>5</x:v>
      </x:c>
      <x:c r="C60" s="13" t="str">
        <x:v>Creature</x:v>
      </x:c>
      <x:c r="D60" s="13" t="str">
        <x:v>Combat Wolf</x:v>
      </x:c>
      <x:c r="E60" s="13" t="str">
        <x:v>Yelp on hit</x:v>
      </x:c>
      <x:c r="F60" s="13" t="n">
        <x:v>4</x:v>
      </x:c>
      <x:c r="G60" s="13" t="str">
        <x:v>1s</x:v>
      </x:c>
      <x:c r="H60" s="13" t="str">
        <x:v>No</x:v>
      </x:c>
      <x:c r="I60" s="13" t="str">
        <x:v>P0</x:v>
      </x:c>
      <x:c r="J60" s="13" t="str">
        <x:v>Source library</x:v>
      </x:c>
      <x:c r="K60" s="13" t="str">
        <x:v>Real wolf/dog pain library</x:v>
      </x:c>
      <x:c r="L60" s="13" t="str">
        <x:v>Creature</x:v>
      </x:c>
      <x:c r="M60" s="13" t="str">
        <x:v>combat.wolf.yelp_hit</x:v>
      </x:c>
      <x:c r="N60" s="13" t="str">
        <x:v>Timber wolf yelp of pain from blunt impact, sharp involuntary vocalization cut short, close perspective, naturalistic not performed.</x:v>
      </x:c>
      <x:c r="O60" s="13" t="str">
        <x:v>Sensitive: visceral but not cruelly exaggerated.</x:v>
      </x:c>
      <x:c r="P60" s="13" t="str">
        <x:v>Not started</x:v>
      </x:c>
      <x:c r="Q60" s="13" t="str"/>
      <x:c r="R60" s="13" t="n">
        <x:v>59</x:v>
      </x:c>
    </x:row>
    <x:row r="61" ht="64" customHeight="1">
      <x:c r="A61" s="13" t="str">
        <x:v>WOLF_DEATH_CRY</x:v>
      </x:c>
      <x:c r="B61" s="13" t="str">
        <x:v>5</x:v>
      </x:c>
      <x:c r="C61" s="13" t="str">
        <x:v>Creature</x:v>
      </x:c>
      <x:c r="D61" s="13" t="str">
        <x:v>Combat Wolf</x:v>
      </x:c>
      <x:c r="E61" s="13" t="str">
        <x:v>Death cry</x:v>
      </x:c>
      <x:c r="F61" s="13" t="n">
        <x:v>3</x:v>
      </x:c>
      <x:c r="G61" s="13" t="str">
        <x:v>1-2s</x:v>
      </x:c>
      <x:c r="H61" s="13" t="str">
        <x:v>No</x:v>
      </x:c>
      <x:c r="I61" s="13" t="str">
        <x:v>P0</x:v>
      </x:c>
      <x:c r="J61" s="13" t="str">
        <x:v>Source library</x:v>
      </x:c>
      <x:c r="K61" s="13" t="str">
        <x:v>Real wolf library</x:v>
      </x:c>
      <x:c r="L61" s="13" t="str">
        <x:v>Creature</x:v>
      </x:c>
      <x:c r="M61" s="13" t="str">
        <x:v>combat.wolf.death</x:v>
      </x:c>
      <x:c r="N61" s="13" t="str">
        <x:v>Final pained timber wolf vocalization when a wolf falls, close perspective, naturalistic, not theatrical.</x:v>
      </x:c>
      <x:c r="O61" s="13" t="str">
        <x:v>Only on confirmed wolf death event.</x:v>
      </x:c>
      <x:c r="P61" s="13" t="str">
        <x:v>Not started</x:v>
      </x:c>
      <x:c r="Q61" s="13" t="str"/>
      <x:c r="R61" s="13" t="n">
        <x:v>60</x:v>
      </x:c>
    </x:row>
    <x:row r="62" ht="64" customHeight="1">
      <x:c r="A62" s="13" t="str">
        <x:v>WOLF_COMBAT_PANT_LOOP</x:v>
      </x:c>
      <x:c r="B62" s="13" t="str">
        <x:v>5</x:v>
      </x:c>
      <x:c r="C62" s="13" t="str">
        <x:v>Creature</x:v>
      </x:c>
      <x:c r="D62" s="13" t="str">
        <x:v>Combat Wolf</x:v>
      </x:c>
      <x:c r="E62" s="13" t="str">
        <x:v>Combat pant/chuff loop</x:v>
      </x:c>
      <x:c r="F62" s="13" t="n">
        <x:v>2</x:v>
      </x:c>
      <x:c r="G62" s="13" t="str">
        <x:v>8s seamless</x:v>
      </x:c>
      <x:c r="H62" s="13" t="str">
        <x:v>Yes</x:v>
      </x:c>
      <x:c r="I62" s="13" t="str">
        <x:v>P0</x:v>
      </x:c>
      <x:c r="J62" s="13" t="str">
        <x:v>Source/record + DAW</x:v>
      </x:c>
      <x:c r="K62" s="13" t="str">
        <x:v>Creature breath library</x:v>
      </x:c>
      <x:c r="L62" s="13" t="str">
        <x:v>Creature</x:v>
      </x:c>
      <x:c r="M62" s="13" t="str">
        <x:v>combat.wolf.pant_loop</x:v>
      </x:c>
      <x:c r="N62" s="13" t="str">
        <x:v>Wolf panting and chuffing under combat stress between attacks, loopable eight seconds, close/mid perspective, predatory animal breath.</x:v>
      </x:c>
      <x:c r="O62" s="13" t="str">
        <x:v>Fade based on active wolves. Do not play after retreat/death.</x:v>
      </x:c>
      <x:c r="P62" s="13" t="str">
        <x:v>Not started</x:v>
      </x:c>
      <x:c r="Q62" s="13" t="str"/>
      <x:c r="R62" s="13" t="n">
        <x:v>61</x:v>
      </x:c>
    </x:row>
    <x:row r="63" ht="64" customHeight="1">
      <x:c r="A63" s="13" t="str">
        <x:v>WOLF_CLAWS_MOVE</x:v>
      </x:c>
      <x:c r="B63" s="13" t="str">
        <x:v>5</x:v>
      </x:c>
      <x:c r="C63" s="13" t="str">
        <x:v>Creature</x:v>
      </x:c>
      <x:c r="D63" s="13" t="str">
        <x:v>Combat Wolf</x:v>
      </x:c>
      <x:c r="E63" s="13" t="str">
        <x:v>Pawing claws on dirt/wood</x:v>
      </x:c>
      <x:c r="F63" s="13" t="n">
        <x:v>8</x:v>
      </x:c>
      <x:c r="G63" s="13" t="str">
        <x:v>0.5-2s</x:v>
      </x:c>
      <x:c r="H63" s="13" t="str">
        <x:v>No</x:v>
      </x:c>
      <x:c r="I63" s="13" t="str">
        <x:v>P0</x:v>
      </x:c>
      <x:c r="J63" s="13" t="str">
        <x:v>Foley + generate</x:v>
      </x:c>
      <x:c r="K63" s="13" t="str">
        <x:v>Claws + dirt/wood foley</x:v>
      </x:c>
      <x:c r="L63" s="13" t="str">
        <x:v>Creature</x:v>
      </x:c>
      <x:c r="M63" s="13" t="str">
        <x:v>combat.wolf.move_claws</x:v>
      </x:c>
      <x:c r="N63" s="13" t="str">
        <x:v>Clawed paws scraping and pushing on hard dirt and rough wooden threshold/floor, quick movement, close perspective.</x:v>
      </x:c>
      <x:c r="O63" s="13" t="str">
        <x:v>Surface-aware variants for threshold vs yard.</x:v>
      </x:c>
      <x:c r="P63" s="13" t="str">
        <x:v>Not started</x:v>
      </x:c>
      <x:c r="Q63" s="13" t="str"/>
      <x:c r="R63" s="13" t="n">
        <x:v>62</x:v>
      </x:c>
    </x:row>
    <x:row r="64" ht="64" customHeight="1">
      <x:c r="A64" s="13" t="str">
        <x:v>CUDGEL_SWING_WHOOSH</x:v>
      </x:c>
      <x:c r="B64" s="13" t="str">
        <x:v>5</x:v>
      </x:c>
      <x:c r="C64" s="13" t="str">
        <x:v>Combat</x:v>
      </x:c>
      <x:c r="D64" s="13" t="str">
        <x:v>Cudgel</x:v>
      </x:c>
      <x:c r="E64" s="13" t="str">
        <x:v>Cudgel swing through air</x:v>
      </x:c>
      <x:c r="F64" s="13" t="n">
        <x:v>5</x:v>
      </x:c>
      <x:c r="G64" s="13" t="str">
        <x:v>0.3-0.8s</x:v>
      </x:c>
      <x:c r="H64" s="13" t="str">
        <x:v>No</x:v>
      </x:c>
      <x:c r="I64" s="13" t="str">
        <x:v>P0</x:v>
      </x:c>
      <x:c r="J64" s="13" t="str">
        <x:v>Record foley</x:v>
      </x:c>
      <x:c r="K64" s="13" t="str">
        <x:v>Wood stick + mic</x:v>
      </x:c>
      <x:c r="L64" s="13" t="str">
        <x:v>Combat</x:v>
      </x:c>
      <x:c r="M64" s="13" t="str">
        <x:v>combat.kalev.cudgel.swing</x:v>
      </x:c>
      <x:c r="N64" s="13" t="str">
        <x:v>Wooden cudgel whoosh through air, close-mic, short and natural, no fantasy flourish.</x:v>
      </x:c>
      <x:c r="O64" s="13" t="str">
        <x:v>Pitch by attack speed; avoid sword-like swish.</x:v>
      </x:c>
      <x:c r="P64" s="13" t="str">
        <x:v>Not started</x:v>
      </x:c>
      <x:c r="Q64" s="13" t="str"/>
      <x:c r="R64" s="13" t="n">
        <x:v>63</x:v>
      </x:c>
    </x:row>
    <x:row r="65" ht="64" customHeight="1">
      <x:c r="A65" s="13" t="str">
        <x:v>CUDGEL_IMPACT_WOLF</x:v>
      </x:c>
      <x:c r="B65" s="13" t="str">
        <x:v>5</x:v>
      </x:c>
      <x:c r="C65" s="13" t="str">
        <x:v>Combat</x:v>
      </x:c>
      <x:c r="D65" s="13" t="str">
        <x:v>Cudgel</x:v>
      </x:c>
      <x:c r="E65" s="13" t="str">
        <x:v>Cudgel impact on wolf</x:v>
      </x:c>
      <x:c r="F65" s="13" t="n">
        <x:v>5</x:v>
      </x:c>
      <x:c r="G65" s="13" t="str">
        <x:v>0.5-1s</x:v>
      </x:c>
      <x:c r="H65" s="13" t="str">
        <x:v>No</x:v>
      </x:c>
      <x:c r="I65" s="13" t="str">
        <x:v>P0</x:v>
      </x:c>
      <x:c r="J65" s="13" t="str">
        <x:v>Foley + layer</x:v>
      </x:c>
      <x:c r="K65" s="13" t="str">
        <x:v>Wood + meat/cloth + DAW</x:v>
      </x:c>
      <x:c r="L65" s="13" t="str">
        <x:v>Combat</x:v>
      </x:c>
      <x:c r="M65" s="13" t="str">
        <x:v>combat.kalev.cudgel.impact_wolf</x:v>
      </x:c>
      <x:c r="N65" s="13" t="str">
        <x:v>Heavy wooden cudgel impact on large animal body, blunt wooden thud with slight muffled flesh and bone crunch underneath, visceral but not gory.</x:v>
      </x:c>
      <x:c r="O65" s="13" t="str">
        <x:v>Layer wood hit + damp cloth/meat + subtle low thump. Keep readable at low mix.</x:v>
      </x:c>
      <x:c r="P65" s="13" t="str">
        <x:v>Not started</x:v>
      </x:c>
      <x:c r="Q65" s="13" t="str"/>
      <x:c r="R65" s="13" t="n">
        <x:v>64</x:v>
      </x:c>
    </x:row>
    <x:row r="66" ht="64" customHeight="1">
      <x:c r="A66" s="13" t="str">
        <x:v>CUDGEL_IMPACT_WALL</x:v>
      </x:c>
      <x:c r="B66" s="13" t="str">
        <x:v>5</x:v>
      </x:c>
      <x:c r="C66" s="13" t="str">
        <x:v>Combat</x:v>
      </x:c>
      <x:c r="D66" s="13" t="str">
        <x:v>Cudgel</x:v>
      </x:c>
      <x:c r="E66" s="13" t="str">
        <x:v>Cudgel miss into cabin wall</x:v>
      </x:c>
      <x:c r="F66" s="13" t="n">
        <x:v>4</x:v>
      </x:c>
      <x:c r="G66" s="13" t="str">
        <x:v>0.5-1s</x:v>
      </x:c>
      <x:c r="H66" s="13" t="str">
        <x:v>No</x:v>
      </x:c>
      <x:c r="I66" s="13" t="str">
        <x:v>P0</x:v>
      </x:c>
      <x:c r="J66" s="13" t="str">
        <x:v>Record foley</x:v>
      </x:c>
      <x:c r="K66" s="13" t="str">
        <x:v>Wood on wood</x:v>
      </x:c>
      <x:c r="L66" s="13" t="str">
        <x:v>Combat</x:v>
      </x:c>
      <x:c r="M66" s="13" t="str">
        <x:v>combat.kalev.cudgel.impact_wall</x:v>
      </x:c>
      <x:c r="N66" s="13" t="str">
        <x:v>Wooden cudgel striking wooden cabin wall, wood-on-wood thud with small resonance, close-mic, no splinter explosion.</x:v>
      </x:c>
      <x:c r="O66" s="13" t="str">
        <x:v>Use for miss/hit environment, conveys desperation.</x:v>
      </x:c>
      <x:c r="P66" s="13" t="str">
        <x:v>Not started</x:v>
      </x:c>
      <x:c r="Q66" s="13" t="str"/>
      <x:c r="R66" s="13" t="n">
        <x:v>65</x:v>
      </x:c>
    </x:row>
    <x:row r="67" ht="64" customHeight="1">
      <x:c r="A67" s="13" t="str">
        <x:v>CUDGEL_IMPACT_GROUND</x:v>
      </x:c>
      <x:c r="B67" s="13" t="str">
        <x:v>5</x:v>
      </x:c>
      <x:c r="C67" s="13" t="str">
        <x:v>Combat</x:v>
      </x:c>
      <x:c r="D67" s="13" t="str">
        <x:v>Cudgel</x:v>
      </x:c>
      <x:c r="E67" s="13" t="str">
        <x:v>Cudgel miss into ground/floor</x:v>
      </x:c>
      <x:c r="F67" s="13" t="n">
        <x:v>4</x:v>
      </x:c>
      <x:c r="G67" s="13" t="str">
        <x:v>0.5-1s</x:v>
      </x:c>
      <x:c r="H67" s="13" t="str">
        <x:v>No</x:v>
      </x:c>
      <x:c r="I67" s="13" t="str">
        <x:v>P0</x:v>
      </x:c>
      <x:c r="J67" s="13" t="str">
        <x:v>Record foley</x:v>
      </x:c>
      <x:c r="K67" s="13" t="str">
        <x:v>Wood on dirt/floor</x:v>
      </x:c>
      <x:c r="L67" s="13" t="str">
        <x:v>Combat</x:v>
      </x:c>
      <x:c r="M67" s="13" t="str">
        <x:v>combat.kalev.cudgel.impact_ground</x:v>
      </x:c>
      <x:c r="N67" s="13" t="str">
        <x:v>Wooden cudgel striking hard-packed dirt or pine floorboard, dull wood impact, close-mic, isolated.</x:v>
      </x:c>
      <x:c r="O67" s="13" t="str">
        <x:v>Make separate dirt/floor variants if time allows.</x:v>
      </x:c>
      <x:c r="P67" s="13" t="str">
        <x:v>Not started</x:v>
      </x:c>
      <x:c r="Q67" s="13" t="str"/>
      <x:c r="R67" s="13" t="n">
        <x:v>66</x:v>
      </x:c>
    </x:row>
    <x:row r="68" ht="64" customHeight="1">
      <x:c r="A68" s="13" t="str">
        <x:v>CUDGEL_GRIP_READY</x:v>
      </x:c>
      <x:c r="B68" s="13" t="str">
        <x:v>5</x:v>
      </x:c>
      <x:c r="C68" s="13" t="str">
        <x:v>Combat</x:v>
      </x:c>
      <x:c r="D68" s="13" t="str">
        <x:v>Cudgel</x:v>
      </x:c>
      <x:c r="E68" s="13" t="str">
        <x:v>Cudgel readied / glove creak</x:v>
      </x:c>
      <x:c r="F68" s="13" t="n">
        <x:v>3</x:v>
      </x:c>
      <x:c r="G68" s="13" t="str">
        <x:v>0.5-1s</x:v>
      </x:c>
      <x:c r="H68" s="13" t="str">
        <x:v>No</x:v>
      </x:c>
      <x:c r="I68" s="13" t="str">
        <x:v>P1</x:v>
      </x:c>
      <x:c r="J68" s="13" t="str">
        <x:v>Record foley</x:v>
      </x:c>
      <x:c r="K68" s="13" t="str">
        <x:v>Leather glove + wooden handle</x:v>
      </x:c>
      <x:c r="L68" s="13" t="str">
        <x:v>Combat</x:v>
      </x:c>
      <x:c r="M68" s="13" t="str">
        <x:v>combat.kalev.cudgel.ready</x:v>
      </x:c>
      <x:c r="N68" s="13" t="str">
        <x:v>Leather glove tightening around wooden cudgel handle, small creak and grip shift, close-mic.</x:v>
      </x:c>
      <x:c r="O68" s="13" t="str">
        <x:v>Use before first strike or ability ready.</x:v>
      </x:c>
      <x:c r="P68" s="13" t="str">
        <x:v>Not started</x:v>
      </x:c>
      <x:c r="Q68" s="13" t="str"/>
      <x:c r="R68" s="13" t="n">
        <x:v>67</x:v>
      </x:c>
    </x:row>
    <x:row r="69" ht="64" customHeight="1">
      <x:c r="A69" s="13" t="str">
        <x:v>BASH_TAUNT_SIGNATURE</x:v>
      </x:c>
      <x:c r="B69" s="13" t="str">
        <x:v>5</x:v>
      </x:c>
      <x:c r="C69" s="13" t="str">
        <x:v>Combat</x:v>
      </x:c>
      <x:c r="D69" s="13" t="str">
        <x:v>Ability</x:v>
      </x:c>
      <x:c r="E69" s="13" t="str">
        <x:v>Bash ability taunt</x:v>
      </x:c>
      <x:c r="F69" s="13" t="n">
        <x:v>3</x:v>
      </x:c>
      <x:c r="G69" s="13" t="str">
        <x:v>2s</x:v>
      </x:c>
      <x:c r="H69" s="13" t="str">
        <x:v>No</x:v>
      </x:c>
      <x:c r="I69" s="13" t="str">
        <x:v>P0</x:v>
      </x:c>
      <x:c r="J69" s="13" t="str">
        <x:v>Record + layer</x:v>
      </x:c>
      <x:c r="K69" s="13" t="str">
        <x:v>Voice + cudgel + LF thud</x:v>
      </x:c>
      <x:c r="L69" s="13" t="str">
        <x:v>SpecialEvents</x:v>
      </x:c>
      <x:c r="M69" s="13" t="str">
        <x:v>ability.bash.taunt</x:v>
      </x:c>
      <x:c r="N69" s="13" t="str">
        <x:v>Adult man sharp single-syllable aggressive wordless shout layered with heavy wooden cudgel impact on large animal body and subtle low-frequency thud, distinct audio signature.</x:v>
      </x:c>
      <x:c r="O69" s="13" t="str">
        <x:v>Threat-table state change cue. Keep wordless; avoid heroic battle cry.</x:v>
      </x:c>
      <x:c r="P69" s="13" t="str">
        <x:v>Not started</x:v>
      </x:c>
      <x:c r="Q69" s="13" t="str"/>
      <x:c r="R69" s="13" t="n">
        <x:v>68</x:v>
      </x:c>
    </x:row>
    <x:row r="70" ht="64" customHeight="1">
      <x:c r="A70" s="13" t="str">
        <x:v>THROW_OBJECT_MOTION</x:v>
      </x:c>
      <x:c r="B70" s="13" t="str">
        <x:v>5</x:v>
      </x:c>
      <x:c r="C70" s="13" t="str">
        <x:v>Combat</x:v>
      </x:c>
      <x:c r="D70" s="13" t="str">
        <x:v>Thrown Object</x:v>
      </x:c>
      <x:c r="E70" s="13" t="str">
        <x:v>Throw motion cloth-rustle</x:v>
      </x:c>
      <x:c r="F70" s="13" t="n">
        <x:v>3</x:v>
      </x:c>
      <x:c r="G70" s="13" t="str">
        <x:v>0.3-0.8s</x:v>
      </x:c>
      <x:c r="H70" s="13" t="str">
        <x:v>No</x:v>
      </x:c>
      <x:c r="I70" s="13" t="str">
        <x:v>P1</x:v>
      </x:c>
      <x:c r="J70" s="13" t="str">
        <x:v>Record foley</x:v>
      </x:c>
      <x:c r="K70" s="13" t="str">
        <x:v>Cloth + arm motion</x:v>
      </x:c>
      <x:c r="L70" s="13" t="str">
        <x:v>Combat</x:v>
      </x:c>
      <x:c r="M70" s="13" t="str">
        <x:v>ability.throw.motion</x:v>
      </x:c>
      <x:c r="N70" s="13" t="str">
        <x:v>Fast cloth rustle and arm motion as object is thrown, close-mic, restrained.</x:v>
      </x:c>
      <x:c r="O70" s="13" t="str">
        <x:v>For taunt-pull alternative.</x:v>
      </x:c>
      <x:c r="P70" s="13" t="str">
        <x:v>Not started</x:v>
      </x:c>
      <x:c r="Q70" s="13" t="str"/>
      <x:c r="R70" s="13" t="n">
        <x:v>69</x:v>
      </x:c>
    </x:row>
    <x:row r="71" ht="64" customHeight="1">
      <x:c r="A71" s="13" t="str">
        <x:v>THROW_OBJECT_WHOOSH</x:v>
      </x:c>
      <x:c r="B71" s="13" t="str">
        <x:v>5</x:v>
      </x:c>
      <x:c r="C71" s="13" t="str">
        <x:v>Combat</x:v>
      </x:c>
      <x:c r="D71" s="13" t="str">
        <x:v>Thrown Object</x:v>
      </x:c>
      <x:c r="E71" s="13" t="str">
        <x:v>Thrown object through air</x:v>
      </x:c>
      <x:c r="F71" s="13" t="n">
        <x:v>4</x:v>
      </x:c>
      <x:c r="G71" s="13" t="str">
        <x:v>0.5-1s</x:v>
      </x:c>
      <x:c r="H71" s="13" t="str">
        <x:v>No</x:v>
      </x:c>
      <x:c r="I71" s="13" t="str">
        <x:v>P1</x:v>
      </x:c>
      <x:c r="J71" s="13" t="str">
        <x:v>Generate/foley</x:v>
      </x:c>
      <x:c r="K71" s="13" t="str">
        <x:v>Stone/cup whoosh</x:v>
      </x:c>
      <x:c r="L71" s="13" t="str">
        <x:v>Combat</x:v>
      </x:c>
      <x:c r="M71" s="13" t="str">
        <x:v>ability.throw.object_whistle</x:v>
      </x:c>
      <x:c r="N71" s="13" t="str">
        <x:v>Small stone or tin cup whistling through cold air, one second, close to mid perspective.</x:v>
      </x:c>
      <x:c r="O71" s="13" t="str">
        <x:v>Separate stone/cup if prop chosen.</x:v>
      </x:c>
      <x:c r="P71" s="13" t="str">
        <x:v>Not started</x:v>
      </x:c>
      <x:c r="Q71" s="13" t="str"/>
      <x:c r="R71" s="13" t="n">
        <x:v>70</x:v>
      </x:c>
    </x:row>
    <x:row r="72" ht="64" customHeight="1">
      <x:c r="A72" s="13" t="str">
        <x:v>THROW_OBJECT_IMPACT</x:v>
      </x:c>
      <x:c r="B72" s="13" t="str">
        <x:v>5</x:v>
      </x:c>
      <x:c r="C72" s="13" t="str">
        <x:v>Combat</x:v>
      </x:c>
      <x:c r="D72" s="13" t="str">
        <x:v>Thrown Object</x:v>
      </x:c>
      <x:c r="E72" s="13" t="str">
        <x:v>Thrown object impact</x:v>
      </x:c>
      <x:c r="F72" s="13" t="n">
        <x:v>6</x:v>
      </x:c>
      <x:c r="G72" s="13" t="str">
        <x:v>0.5-1s</x:v>
      </x:c>
      <x:c r="H72" s="13" t="str">
        <x:v>No</x:v>
      </x:c>
      <x:c r="I72" s="13" t="str">
        <x:v>P1</x:v>
      </x:c>
      <x:c r="J72" s="13" t="str">
        <x:v>Record foley</x:v>
      </x:c>
      <x:c r="K72" s="13" t="str">
        <x:v>Stone/cup + wood/dirt</x:v>
      </x:c>
      <x:c r="L72" s="13" t="str">
        <x:v>Combat</x:v>
      </x:c>
      <x:c r="M72" s="13" t="str">
        <x:v>ability.throw.impact</x:v>
      </x:c>
      <x:c r="N72" s="13" t="str">
        <x:v>Stone-on-wood, stone-on-dirt, or pewter cup hitting floor/wolf, close-mic, grounded physical impact.</x:v>
      </x:c>
      <x:c r="O72" s="13" t="str">
        <x:v>Different impact materials support readable gameplay.</x:v>
      </x:c>
      <x:c r="P72" s="13" t="str">
        <x:v>Not started</x:v>
      </x:c>
      <x:c r="Q72" s="13" t="str"/>
      <x:c r="R72" s="13" t="n">
        <x:v>71</x:v>
      </x:c>
    </x:row>
    <x:row r="73" ht="64" customHeight="1">
      <x:c r="A73" s="13" t="str">
        <x:v>IIRO_RUN_DIRT_LEAVES</x:v>
      </x:c>
      <x:c r="B73" s="13" t="str">
        <x:v>5</x:v>
      </x:c>
      <x:c r="C73" s="13" t="str">
        <x:v>Foley</x:v>
      </x:c>
      <x:c r="D73" s="13" t="str">
        <x:v>Iiro Flight</x:v>
      </x:c>
      <x:c r="E73" s="13" t="str">
        <x:v>Boy running footsteps</x:v>
      </x:c>
      <x:c r="F73" s="13" t="n">
        <x:v>6</x:v>
      </x:c>
      <x:c r="G73" s="13" t="str">
        <x:v>0.2-0.4s each</x:v>
      </x:c>
      <x:c r="H73" s="13" t="str">
        <x:v>No</x:v>
      </x:c>
      <x:c r="I73" s="13" t="str">
        <x:v>P0</x:v>
      </x:c>
      <x:c r="J73" s="13" t="str">
        <x:v>Record foley</x:v>
      </x:c>
      <x:c r="K73" s="13" t="str">
        <x:v>Light shoes/boots + dirt/leaves</x:v>
      </x:c>
      <x:c r="L73" s="13" t="str">
        <x:v>SFX_Foley</x:v>
      </x:c>
      <x:c r="M73" s="13" t="str">
        <x:v>route.boy.advance.footsteps</x:v>
      </x:c>
      <x:c r="N73" s="13" t="str">
        <x:v>Small running footsteps, boy on packed dirt then forest leaves, lighter and quicker than Kalev, fear urgency, receding perspective.</x:v>
      </x:c>
      <x:c r="O73" s="13" t="str">
        <x:v>Critical objective cue: child is moving toward safety.</x:v>
      </x:c>
      <x:c r="P73" s="13" t="str">
        <x:v>Not started</x:v>
      </x:c>
      <x:c r="Q73" s="13" t="str"/>
      <x:c r="R73" s="13" t="n">
        <x:v>72</x:v>
      </x:c>
    </x:row>
    <x:row r="74" ht="64" customHeight="1">
      <x:c r="A74" s="13" t="str">
        <x:v>DOOR_BACK_CLOSE</x:v>
      </x:c>
      <x:c r="B74" s="13" t="str">
        <x:v>5</x:v>
      </x:c>
      <x:c r="C74" s="13" t="str">
        <x:v>Foley</x:v>
      </x:c>
      <x:c r="D74" s="13" t="str">
        <x:v>Iiro Flight</x:v>
      </x:c>
      <x:c r="E74" s="13" t="str">
        <x:v>Back door closing behind boy</x:v>
      </x:c>
      <x:c r="F74" s="13" t="n">
        <x:v>3</x:v>
      </x:c>
      <x:c r="G74" s="13" t="str">
        <x:v>1-2s</x:v>
      </x:c>
      <x:c r="H74" s="13" t="str">
        <x:v>No</x:v>
      </x:c>
      <x:c r="I74" s="13" t="str">
        <x:v>P0</x:v>
      </x:c>
      <x:c r="J74" s="13" t="str">
        <x:v>Generate or record</x:v>
      </x:c>
      <x:c r="K74" s="13" t="str">
        <x:v>Door foley</x:v>
      </x:c>
      <x:c r="L74" s="13" t="str">
        <x:v>SFX_Foley</x:v>
      </x:c>
      <x:c r="M74" s="13" t="str">
        <x:v>route.boy.back_door.close</x:v>
      </x:c>
      <x:c r="N74" s="13" t="str">
        <x:v>Small back door closes behind boy, lighter than front door, quick wood clap and latch or frame contact.</x:v>
      </x:c>
      <x:c r="O74" s="13" t="str">
        <x:v>Position at back exit; confirms route transition.</x:v>
      </x:c>
      <x:c r="P74" s="13" t="str">
        <x:v>Not started</x:v>
      </x:c>
      <x:c r="Q74" s="13" t="str"/>
      <x:c r="R74" s="13" t="n">
        <x:v>73</x:v>
      </x:c>
    </x:row>
    <x:row r="75" ht="64" customHeight="1">
      <x:c r="A75" s="13" t="str">
        <x:v>IIRO_DISTANT_CRY</x:v>
      </x:c>
      <x:c r="B75" s="13" t="str">
        <x:v>5</x:v>
      </x:c>
      <x:c r="C75" s="13" t="str">
        <x:v>Voice</x:v>
      </x:c>
      <x:c r="D75" s="13" t="str">
        <x:v>Iiro Flight</x:v>
      </x:c>
      <x:c r="E75" s="13" t="str">
        <x:v>Boy distant fear cry</x:v>
      </x:c>
      <x:c r="F75" s="13" t="n">
        <x:v>3</x:v>
      </x:c>
      <x:c r="G75" s="13" t="str">
        <x:v>2s</x:v>
      </x:c>
      <x:c r="H75" s="13" t="str">
        <x:v>No</x:v>
      </x:c>
      <x:c r="I75" s="13" t="str">
        <x:v>P0</x:v>
      </x:c>
      <x:c r="J75" s="13" t="str">
        <x:v>Record / actor</x:v>
      </x:c>
      <x:c r="K75" s="13" t="str">
        <x:v>Voice actor</x:v>
      </x:c>
      <x:c r="L75" s="13" t="str">
        <x:v>SpecialEvents</x:v>
      </x:c>
      <x:c r="M75" s="13" t="str">
        <x:v>route.boy.far_cry</x:v>
      </x:c>
      <x:c r="N75" s="13" t="str">
        <x:v>Single small cry from boy at distance, fear not pain, two seconds, restrained, receding through cold yard/woodline.</x:v>
      </x:c>
      <x:c r="O75" s="13" t="str">
        <x:v>Do not overuse. Avoid implying injury.</x:v>
      </x:c>
      <x:c r="P75" s="13" t="str">
        <x:v>Not started</x:v>
      </x:c>
      <x:c r="Q75" s="13" t="str"/>
      <x:c r="R75" s="13" t="n">
        <x:v>74</x:v>
      </x:c>
    </x:row>
    <x:row r="76" ht="64" customHeight="1">
      <x:c r="A76" s="13" t="str">
        <x:v>IIRO_BRANCHES_WOODLINE</x:v>
      </x:c>
      <x:c r="B76" s="13" t="str">
        <x:v>5</x:v>
      </x:c>
      <x:c r="C76" s="13" t="str">
        <x:v>Foley</x:v>
      </x:c>
      <x:c r="D76" s="13" t="str">
        <x:v>Iiro Flight</x:v>
      </x:c>
      <x:c r="E76" s="13" t="str">
        <x:v>Branches snapping as boy disappears</x:v>
      </x:c>
      <x:c r="F76" s="13" t="n">
        <x:v>4</x:v>
      </x:c>
      <x:c r="G76" s="13" t="str">
        <x:v>1-3s</x:v>
      </x:c>
      <x:c r="H76" s="13" t="str">
        <x:v>No</x:v>
      </x:c>
      <x:c r="I76" s="13" t="str">
        <x:v>P0</x:v>
      </x:c>
      <x:c r="J76" s="13" t="str">
        <x:v>Record/generate</x:v>
      </x:c>
      <x:c r="K76" s="13" t="str">
        <x:v>Branch + leaves foley</x:v>
      </x:c>
      <x:c r="L76" s="13" t="str">
        <x:v>SFX_Foley</x:v>
      </x:c>
      <x:c r="M76" s="13" t="str">
        <x:v>route.boy.woodline_branches</x:v>
      </x:c>
      <x:c r="N76" s="13" t="str">
        <x:v>Small branches snapping and leaves displaced at woodline as a child runs into trees, mid-distance, cold outdoor air.</x:v>
      </x:c>
      <x:c r="O76" s="13" t="str">
        <x:v>Confirms safety route direction.</x:v>
      </x:c>
      <x:c r="P76" s="13" t="str">
        <x:v>Not started</x:v>
      </x:c>
      <x:c r="Q76" s="13" t="str"/>
      <x:c r="R76" s="13" t="n">
        <x:v>75</x:v>
      </x:c>
    </x:row>
    <x:row r="77" ht="64" customHeight="1">
      <x:c r="A77" s="13" t="str">
        <x:v>WOLF_RETREAT_PANT</x:v>
      </x:c>
      <x:c r="B77" s="13" t="str">
        <x:v>5</x:v>
      </x:c>
      <x:c r="C77" s="13" t="str">
        <x:v>Creature</x:v>
      </x:c>
      <x:c r="D77" s="13" t="str">
        <x:v>Retreat</x:v>
      </x:c>
      <x:c r="E77" s="13" t="str">
        <x:v>Wolves panting in retreat</x:v>
      </x:c>
      <x:c r="F77" s="13" t="n">
        <x:v>2</x:v>
      </x:c>
      <x:c r="G77" s="13" t="str">
        <x:v>4-8s</x:v>
      </x:c>
      <x:c r="H77" s="13" t="str">
        <x:v>No</x:v>
      </x:c>
      <x:c r="I77" s="13" t="str">
        <x:v>P0</x:v>
      </x:c>
      <x:c r="J77" s="13" t="str">
        <x:v>Source/library + mix</x:v>
      </x:c>
      <x:c r="K77" s="13" t="str">
        <x:v>Creature breath library</x:v>
      </x:c>
      <x:c r="L77" s="13" t="str">
        <x:v>Creature</x:v>
      </x:c>
      <x:c r="M77" s="13" t="str">
        <x:v>encounter.wolves.retreat_pant</x:v>
      </x:c>
      <x:c r="N77" s="13" t="str">
        <x:v>Heavy wolf breath and panting moving away from close/mid distance toward forest, fading naturally.</x:v>
      </x:c>
      <x:c r="O77" s="13" t="str">
        <x:v>Use after encounter resolves, before ambient returns.</x:v>
      </x:c>
      <x:c r="P77" s="13" t="str">
        <x:v>Not started</x:v>
      </x:c>
      <x:c r="Q77" s="13" t="str"/>
      <x:c r="R77" s="13" t="n">
        <x:v>76</x:v>
      </x:c>
    </x:row>
    <x:row r="78" ht="64" customHeight="1">
      <x:c r="A78" s="13" t="str">
        <x:v>WOLF_RETREAT_CLAWS_RECEDING</x:v>
      </x:c>
      <x:c r="B78" s="13" t="str">
        <x:v>5</x:v>
      </x:c>
      <x:c r="C78" s="13" t="str">
        <x:v>Creature</x:v>
      </x:c>
      <x:c r="D78" s="13" t="str">
        <x:v>Retreat</x:v>
      </x:c>
      <x:c r="E78" s="13" t="str">
        <x:v>Claws on dirt receding</x:v>
      </x:c>
      <x:c r="F78" s="13" t="n">
        <x:v>3</x:v>
      </x:c>
      <x:c r="G78" s="13" t="str">
        <x:v>4-8s</x:v>
      </x:c>
      <x:c r="H78" s="13" t="str">
        <x:v>No</x:v>
      </x:c>
      <x:c r="I78" s="13" t="str">
        <x:v>P0</x:v>
      </x:c>
      <x:c r="J78" s="13" t="str">
        <x:v>Foley + mix</x:v>
      </x:c>
      <x:c r="K78" s="13" t="str">
        <x:v>Claws/dirt foley</x:v>
      </x:c>
      <x:c r="L78" s="13" t="str">
        <x:v>Creature</x:v>
      </x:c>
      <x:c r="M78" s="13" t="str">
        <x:v>encounter.wolves.retreat_footsteps</x:v>
      </x:c>
      <x:c r="N78" s="13" t="str">
        <x:v>Clawed feet on hard-packed dirt and leaves receding into distance, cold yard, natural perspective fade.</x:v>
      </x:c>
      <x:c r="O78" s="13" t="str">
        <x:v>Spatial/fader automation should do most of the work.</x:v>
      </x:c>
      <x:c r="P78" s="13" t="str">
        <x:v>Not started</x:v>
      </x:c>
      <x:c r="Q78" s="13" t="str"/>
      <x:c r="R78" s="13" t="n">
        <x:v>77</x:v>
      </x:c>
    </x:row>
    <x:row r="79" ht="64" customHeight="1">
      <x:c r="A79" s="13" t="str">
        <x:v>WOLF_FINAL_FRUSTRATED_HOWL</x:v>
      </x:c>
      <x:c r="B79" s="13" t="str">
        <x:v>5</x:v>
      </x:c>
      <x:c r="C79" s="13" t="str">
        <x:v>Creature</x:v>
      </x:c>
      <x:c r="D79" s="13" t="str">
        <x:v>Retreat</x:v>
      </x:c>
      <x:c r="E79" s="13" t="str">
        <x:v>Final distant howl</x:v>
      </x:c>
      <x:c r="F79" s="13" t="n">
        <x:v>2</x:v>
      </x:c>
      <x:c r="G79" s="13" t="str">
        <x:v>3-4s</x:v>
      </x:c>
      <x:c r="H79" s="13" t="str">
        <x:v>No</x:v>
      </x:c>
      <x:c r="I79" s="13" t="str">
        <x:v>P1</x:v>
      </x:c>
      <x:c r="J79" s="13" t="str">
        <x:v>Source library</x:v>
      </x:c>
      <x:c r="K79" s="13" t="str">
        <x:v>Real wolf library</x:v>
      </x:c>
      <x:c r="L79" s="13" t="str">
        <x:v>Creature</x:v>
      </x:c>
      <x:c r="M79" s="13" t="str">
        <x:v>encounter.wolves.final_howl</x:v>
      </x:c>
      <x:c r="N79" s="13" t="str">
        <x:v>Final distant wolf howl after retreat, different tone from arrival, frustrated more than predatory, cold dusk distance.</x:v>
      </x:c>
      <x:c r="O79" s="13" t="str">
        <x:v>Optional depending on pacing; do not undercut silence.</x:v>
      </x:c>
      <x:c r="P79" s="13" t="str">
        <x:v>Not started</x:v>
      </x:c>
      <x:c r="Q79" s="13" t="str"/>
      <x:c r="R79" s="13" t="n">
        <x:v>78</x:v>
      </x:c>
    </x:row>
    <x:row r="80" ht="64" customHeight="1">
      <x:c r="A80" s="13" t="str">
        <x:v>RETREAT_AMBIENT_RETURN</x:v>
      </x:c>
      <x:c r="B80" s="13" t="str">
        <x:v>5</x:v>
      </x:c>
      <x:c r="C80" s="13" t="str">
        <x:v>Ambient</x:v>
      </x:c>
      <x:c r="D80" s="13" t="str">
        <x:v>Retreat</x:v>
      </x:c>
      <x:c r="E80" s="13" t="str">
        <x:v>Silence falls back / yard dusk resumes</x:v>
      </x:c>
      <x:c r="F80" s="13" t="n">
        <x:v>1</x:v>
      </x:c>
      <x:c r="G80" s="13" t="str">
        <x:v>mix decision</x:v>
      </x:c>
      <x:c r="H80" s="13" t="str">
        <x:v>No</x:v>
      </x:c>
      <x:c r="I80" s="13" t="str">
        <x:v>P0</x:v>
      </x:c>
      <x:c r="J80" s="13" t="str">
        <x:v>Mix automation</x:v>
      </x:c>
      <x:c r="K80" s="13" t="str">
        <x:v>Godot bus automation</x:v>
      </x:c>
      <x:c r="L80" s="13" t="str">
        <x:v>AMB_Exterior</x:v>
      </x:c>
      <x:c r="M80" s="13" t="str">
        <x:v>encounter.wolves.resolved</x:v>
      </x:c>
      <x:c r="N80" s="13" t="str">
        <x:v>No one-shot. Fade wolf buses down; fade Outdoor Dusk ambient up; leave a beat of absence before normal bed returns.</x:v>
      </x:c>
      <x:c r="O80" s="13" t="str">
        <x:v>The absence of wolf sounds is part of resolution.</x:v>
      </x:c>
      <x:c r="P80" s="13" t="str">
        <x:v>Not started</x:v>
      </x:c>
      <x:c r="Q80" s="13" t="str"/>
      <x:c r="R80" s="13" t="n">
        <x:v>79</x:v>
      </x:c>
    </x:row>
    <x:row r="81" ht="64" customHeight="1">
      <x:c r="A81" s="13" t="str">
        <x:v>NOTEBOOK_OPEN</x:v>
      </x:c>
      <x:c r="B81" s="13" t="str">
        <x:v>1-5</x:v>
      </x:c>
      <x:c r="C81" s="13" t="str">
        <x:v>UI/Foley</x:v>
      </x:c>
      <x:c r="D81" s="13" t="str">
        <x:v>Notebook</x:v>
      </x:c>
      <x:c r="E81" s="13" t="str">
        <x:v>Notebook open</x:v>
      </x:c>
      <x:c r="F81" s="13" t="n">
        <x:v>3</x:v>
      </x:c>
      <x:c r="G81" s="13" t="str">
        <x:v>2s</x:v>
      </x:c>
      <x:c r="H81" s="13" t="str">
        <x:v>No</x:v>
      </x:c>
      <x:c r="I81" s="13" t="str">
        <x:v>P0</x:v>
      </x:c>
      <x:c r="J81" s="13" t="str">
        <x:v>Record real foley</x:v>
      </x:c>
      <x:c r="K81" s="13" t="str">
        <x:v>Leather notebook + mic</x:v>
      </x:c>
      <x:c r="L81" s="13" t="str">
        <x:v>UI_Diegetic</x:v>
      </x:c>
      <x:c r="M81" s="13" t="str">
        <x:v>ui.notebook.open</x:v>
      </x:c>
      <x:c r="N81" s="13" t="str">
        <x:v>Small leather-bound notebook opened, leather binding flexing, pages settling open with slight paper rustle, close-mic.</x:v>
      </x:c>
      <x:c r="O81" s="13" t="str">
        <x:v>Player uses constantly; capture clean.</x:v>
      </x:c>
      <x:c r="P81" s="13" t="str">
        <x:v>Not started</x:v>
      </x:c>
      <x:c r="Q81" s="13" t="str"/>
      <x:c r="R81" s="13" t="n">
        <x:v>80</x:v>
      </x:c>
    </x:row>
    <x:row r="82" ht="64" customHeight="1">
      <x:c r="A82" s="13" t="str">
        <x:v>NOTEBOOK_CLOSE</x:v>
      </x:c>
      <x:c r="B82" s="13" t="str">
        <x:v>1-5</x:v>
      </x:c>
      <x:c r="C82" s="13" t="str">
        <x:v>UI/Foley</x:v>
      </x:c>
      <x:c r="D82" s="13" t="str">
        <x:v>Notebook</x:v>
      </x:c>
      <x:c r="E82" s="13" t="str">
        <x:v>Notebook close</x:v>
      </x:c>
      <x:c r="F82" s="13" t="n">
        <x:v>3</x:v>
      </x:c>
      <x:c r="G82" s="13" t="str">
        <x:v>1-2s</x:v>
      </x:c>
      <x:c r="H82" s="13" t="str">
        <x:v>No</x:v>
      </x:c>
      <x:c r="I82" s="13" t="str">
        <x:v>P0</x:v>
      </x:c>
      <x:c r="J82" s="13" t="str">
        <x:v>Record real foley</x:v>
      </x:c>
      <x:c r="K82" s="13" t="str">
        <x:v>Leather notebook + mic</x:v>
      </x:c>
      <x:c r="L82" s="13" t="str">
        <x:v>UI_Diegetic</x:v>
      </x:c>
      <x:c r="M82" s="13" t="str">
        <x:v>ui.notebook.close</x:v>
      </x:c>
      <x:c r="N82" s="13" t="str">
        <x:v>Leather-bound notebook closing, leather meeting leather with slight clap and paper settling, close-mic.</x:v>
      </x:c>
      <x:c r="O82" s="13" t="str">
        <x:v>Gentle; no hard book slam.</x:v>
      </x:c>
      <x:c r="P82" s="13" t="str">
        <x:v>Not started</x:v>
      </x:c>
      <x:c r="Q82" s="13" t="str"/>
      <x:c r="R82" s="13" t="n">
        <x:v>81</x:v>
      </x:c>
    </x:row>
    <x:row r="83" ht="64" customHeight="1">
      <x:c r="A83" s="13" t="str">
        <x:v>NOTEBOOK_DESTINATION_FLIP</x:v>
      </x:c>
      <x:c r="B83" s="13" t="str">
        <x:v>1-5</x:v>
      </x:c>
      <x:c r="C83" s="13" t="str">
        <x:v>UI/Foley</x:v>
      </x:c>
      <x:c r="D83" s="13" t="str">
        <x:v>Notebook</x:v>
      </x:c>
      <x:c r="E83" s="13" t="str">
        <x:v>Inventory/character destination flip</x:v>
      </x:c>
      <x:c r="F83" s="13" t="n">
        <x:v>3</x:v>
      </x:c>
      <x:c r="G83" s="13" t="str">
        <x:v>2s</x:v>
      </x:c>
      <x:c r="H83" s="13" t="str">
        <x:v>No</x:v>
      </x:c>
      <x:c r="I83" s="13" t="str">
        <x:v>P1</x:v>
      </x:c>
      <x:c r="J83" s="13" t="str">
        <x:v>Record real foley</x:v>
      </x:c>
      <x:c r="K83" s="13" t="str">
        <x:v>Notebook + fingers</x:v>
      </x:c>
      <x:c r="L83" s="13" t="str">
        <x:v>UI_Diegetic</x:v>
      </x:c>
      <x:c r="M83" s="13" t="str">
        <x:v>ui.sheet.open</x:v>
      </x:c>
      <x:c r="N83" s="13" t="str">
        <x:v>Deliberate notebook page flip to a destination, with soft brush of fingers across page, close-mic.</x:v>
      </x:c>
      <x:c r="O83" s="13" t="str">
        <x:v>Use when opening character sheet/inventory page.</x:v>
      </x:c>
      <x:c r="P83" s="13" t="str">
        <x:v>Not started</x:v>
      </x:c>
      <x:c r="Q83" s="13" t="str"/>
      <x:c r="R83" s="13" t="n">
        <x:v>82</x:v>
      </x:c>
    </x:row>
    <x:row r="84" ht="64" customHeight="1">
      <x:c r="A84" s="13" t="str">
        <x:v>MARGINALIA_STANDARD</x:v>
      </x:c>
      <x:c r="B84" s="13" t="str">
        <x:v>1-5</x:v>
      </x:c>
      <x:c r="C84" s="13" t="str">
        <x:v>UI/Foley</x:v>
      </x:c>
      <x:c r="D84" s="13" t="str">
        <x:v>Notebook</x:v>
      </x:c>
      <x:c r="E84" s="13" t="str">
        <x:v>Marginalia appears — standard</x:v>
      </x:c>
      <x:c r="F84" s="13" t="n">
        <x:v>5</x:v>
      </x:c>
      <x:c r="G84" s="13" t="str">
        <x:v>1-2s</x:v>
      </x:c>
      <x:c r="H84" s="13" t="str">
        <x:v>No</x:v>
      </x:c>
      <x:c r="I84" s="13" t="str">
        <x:v>P0</x:v>
      </x:c>
      <x:c r="J84" s="13" t="str">
        <x:v>Use writing variations</x:v>
      </x:c>
      <x:c r="K84" s="13" t="str">
        <x:v>Pencil foley</x:v>
      </x:c>
      <x:c r="L84" s="13" t="str">
        <x:v>UI_Diegetic</x:v>
      </x:c>
      <x:c r="M84" s="13" t="str">
        <x:v>notebook.marginalia.standard</x:v>
      </x:c>
      <x:c r="N84" s="13" t="str">
        <x:v>Soft pencil scratch of a short marginalia entry appearing on notebook page, close-mic, restrained.</x:v>
      </x:c>
      <x:c r="O84" s="13" t="str">
        <x:v>Use after P3 rolls and normal entries. Mostly NOTEBOOK_WRITE_SHORT variants.</x:v>
      </x:c>
      <x:c r="P84" s="13" t="str">
        <x:v>Not started</x:v>
      </x:c>
      <x:c r="Q84" s="13" t="str"/>
      <x:c r="R84" s="13" t="n">
        <x:v>83</x:v>
      </x:c>
    </x:row>
    <x:row r="85" ht="64" customHeight="1">
      <x:c r="A85" s="13" t="str">
        <x:v>MARGINALIA_NAMED_EVENT</x:v>
      </x:c>
      <x:c r="B85" s="13" t="str">
        <x:v>4-5</x:v>
      </x:c>
      <x:c r="C85" s="13" t="str">
        <x:v>UI/Foley</x:v>
      </x:c>
      <x:c r="D85" s="13" t="str">
        <x:v>Notebook</x:v>
      </x:c>
      <x:c r="E85" s="13" t="str">
        <x:v>Marginalia appears — named event with bell</x:v>
      </x:c>
      <x:c r="F85" s="13" t="n">
        <x:v>3</x:v>
      </x:c>
      <x:c r="G85" s="13" t="str">
        <x:v>3s</x:v>
      </x:c>
      <x:c r="H85" s="13" t="str">
        <x:v>No</x:v>
      </x:c>
      <x:c r="I85" s="13" t="str">
        <x:v>P0</x:v>
      </x:c>
      <x:c r="J85" s="13" t="str">
        <x:v>Record + layer</x:v>
      </x:c>
      <x:c r="K85" s="13" t="str">
        <x:v>Pencil + small brass bell</x:v>
      </x:c>
      <x:c r="L85" s="13" t="str">
        <x:v>SpecialEvents</x:v>
      </x:c>
      <x:c r="M85" s="13" t="str">
        <x:v>notebook.marginalia.named_event</x:v>
      </x:c>
      <x:c r="N85" s="13" t="str">
        <x:v>Pencil writing single short notebook entry slowly, layered underneath at very low volume with a single soft pianissimo struck small brass bell tone barely audible.</x:v>
      </x:c>
      <x:c r="O85" s="13" t="str">
        <x:v>Only 3-5 uses in whole slice: Anna, Iiro, wolves retreating.</x:v>
      </x:c>
      <x:c r="P85" s="13" t="str">
        <x:v>Not started</x:v>
      </x:c>
      <x:c r="Q85" s="13" t="str"/>
      <x:c r="R85" s="13" t="n">
        <x:v>84</x:v>
      </x:c>
    </x:row>
    <x:row r="86" ht="64" customHeight="1">
      <x:c r="A86" s="13" t="str">
        <x:v>WITNESS_TICK</x:v>
      </x:c>
      <x:c r="B86" s="13" t="str">
        <x:v>4-5</x:v>
      </x:c>
      <x:c r="C86" s="13" t="str">
        <x:v>UI/Foley</x:v>
      </x:c>
      <x:c r="D86" s="13" t="str">
        <x:v>Progression</x:v>
      </x:c>
      <x:c r="E86" s="13" t="str">
        <x:v>Witness tick</x:v>
      </x:c>
      <x:c r="F86" s="13" t="n">
        <x:v>3</x:v>
      </x:c>
      <x:c r="G86" s="13" t="str">
        <x:v>0.2-0.6s</x:v>
      </x:c>
      <x:c r="H86" s="13" t="str">
        <x:v>No</x:v>
      </x:c>
      <x:c r="I86" s="13" t="str">
        <x:v>P1</x:v>
      </x:c>
      <x:c r="J86" s="13" t="str">
        <x:v>Use writing variations</x:v>
      </x:c>
      <x:c r="K86" s="13" t="str">
        <x:v>Pencil foley</x:v>
      </x:c>
      <x:c r="L86" s="13" t="str">
        <x:v>UI_Diegetic</x:v>
      </x:c>
      <x:c r="M86" s="13" t="str">
        <x:v>progression.witness.tick</x:v>
      </x:c>
      <x:c r="N86" s="13" t="str">
        <x:v>Single very soft graphite stroke, tiny and quiet, close-mic.</x:v>
      </x:c>
      <x:c r="O86" s="13" t="str">
        <x:v>Frequent low-volume event; keep shorter and drier than entries.</x:v>
      </x:c>
      <x:c r="P86" s="13" t="str">
        <x:v>Not started</x:v>
      </x:c>
      <x:c r="Q86" s="13" t="str"/>
      <x:c r="R86" s="13" t="n">
        <x:v>85</x:v>
      </x:c>
    </x:row>
    <x:row r="87" ht="64" customHeight="1">
      <x:c r="A87" s="13" t="str">
        <x:v>LEVEL_UP_BELL_NOTEBOOK</x:v>
      </x:c>
      <x:c r="B87" s="13" t="str">
        <x:v>1-5</x:v>
      </x:c>
      <x:c r="C87" s="13" t="str">
        <x:v>UI/Foley</x:v>
      </x:c>
      <x:c r="D87" s="13" t="str">
        <x:v>Progression</x:v>
      </x:c>
      <x:c r="E87" s="13" t="str">
        <x:v>Level-up ceremonial cue</x:v>
      </x:c>
      <x:c r="F87" s="13" t="n">
        <x:v>2</x:v>
      </x:c>
      <x:c r="G87" s="13" t="str">
        <x:v>3s</x:v>
      </x:c>
      <x:c r="H87" s="13" t="str">
        <x:v>No</x:v>
      </x:c>
      <x:c r="I87" s="13" t="str">
        <x:v>P2</x:v>
      </x:c>
      <x:c r="J87" s="13" t="str">
        <x:v>Record + layer</x:v>
      </x:c>
      <x:c r="K87" s="13" t="str">
        <x:v>Brass bell + notebook</x:v>
      </x:c>
      <x:c r="L87" s="13" t="str">
        <x:v>UI_Diegetic</x:v>
      </x:c>
      <x:c r="M87" s="13" t="str">
        <x:v>progression.level_up</x:v>
      </x:c>
      <x:c r="N87" s="13" t="str">
        <x:v>Single struck small brass bell tone at mezzo-forte layered with deliberate leather-bound notebook page turn, three second clip, slight natural reverb, ceremonial restrained.</x:v>
      </x:c>
      <x:c r="O87" s="13" t="str">
        <x:v>May not appear in opening slice; include for system readiness.</x:v>
      </x:c>
      <x:c r="P87" s="13" t="str">
        <x:v>Not started</x:v>
      </x:c>
      <x:c r="Q87" s="13" t="str"/>
      <x:c r="R87" s="13" t="n">
        <x:v>86</x:v>
      </x:c>
    </x:row>
    <x:row r="88" ht="64" customHeight="1">
      <x:c r="A88" s="13" t="str">
        <x:v>VOCATION_POINT_CUE</x:v>
      </x:c>
      <x:c r="B88" s="13" t="str">
        <x:v>1-5</x:v>
      </x:c>
      <x:c r="C88" s="13" t="str">
        <x:v>UI/Foley</x:v>
      </x:c>
      <x:c r="D88" s="13" t="str">
        <x:v>Progression</x:v>
      </x:c>
      <x:c r="E88" s="13" t="str">
        <x:v>Vocation point gained</x:v>
      </x:c>
      <x:c r="F88" s="13" t="n">
        <x:v>2</x:v>
      </x:c>
      <x:c r="G88" s="13" t="str">
        <x:v>2-3s</x:v>
      </x:c>
      <x:c r="H88" s="13" t="str">
        <x:v>No</x:v>
      </x:c>
      <x:c r="I88" s="13" t="str">
        <x:v>P2</x:v>
      </x:c>
      <x:c r="J88" s="13" t="str">
        <x:v>Record + layer</x:v>
      </x:c>
      <x:c r="K88" s="13" t="str">
        <x:v>Notebook + pencil</x:v>
      </x:c>
      <x:c r="L88" s="13" t="str">
        <x:v>UI_Diegetic</x:v>
      </x:c>
      <x:c r="M88" s="13" t="str">
        <x:v>progression.vocation.gained</x:v>
      </x:c>
      <x:c r="N88" s="13" t="str">
        <x:v>Notebook turns to Vocation page automatically with faint new ink line appearing, slow deliberate marginalia sound.</x:v>
      </x:c>
      <x:c r="O88" s="13" t="str">
        <x:v>Player-facing path growth; quiet, not gamified.</x:v>
      </x:c>
      <x:c r="P88" s="13" t="str">
        <x:v>Not started</x:v>
      </x:c>
      <x:c r="Q88" s="13" t="str"/>
      <x:c r="R88" s="13" t="n">
        <x:v>87</x:v>
      </x:c>
    </x:row>
    <x:row r="89" ht="64" customHeight="1">
      <x:c r="A89" s="13" t="str">
        <x:v>STATE_BURDEN_HIGH_FOOTSTEPS</x:v>
      </x:c>
      <x:c r="B89" s="13" t="str">
        <x:v>1-5</x:v>
      </x:c>
      <x:c r="C89" s="13" t="str">
        <x:v>State</x:v>
      </x:c>
      <x:c r="D89" s="13" t="str">
        <x:v>Body-State</x:v>
      </x:c>
      <x:c r="E89" s="13" t="str">
        <x:v>High-Burden footsteps/breath variants</x:v>
      </x:c>
      <x:c r="F89" s="13" t="n">
        <x:v>6</x:v>
      </x:c>
      <x:c r="G89" s="13" t="str">
        <x:v>various</x:v>
      </x:c>
      <x:c r="H89" s="13" t="str">
        <x:v>No/Loop</x:v>
      </x:c>
      <x:c r="I89" s="13" t="str">
        <x:v>P1</x:v>
      </x:c>
      <x:c r="J89" s="13" t="str">
        <x:v>Record variations</x:v>
      </x:c>
      <x:c r="K89" s="13" t="str">
        <x:v>Foley pass</x:v>
      </x:c>
      <x:c r="L89" s="13" t="str">
        <x:v>SFX_Body</x:v>
      </x:c>
      <x:c r="M89" s="13" t="str">
        <x:v>state.burden.cross_50</x:v>
      </x:c>
      <x:c r="N89" s="13" t="str">
        <x:v>Same character as normal footsteps and breath but slightly heavier, slower, longer. No overt dramatic cue.</x:v>
      </x:c>
      <x:c r="O89" s="13" t="str">
        <x:v>Layer swap/variant weighting when Burden &gt; 50%.</x:v>
      </x:c>
      <x:c r="P89" s="13" t="str">
        <x:v>Not started</x:v>
      </x:c>
      <x:c r="Q89" s="13" t="str"/>
      <x:c r="R89" s="13" t="n">
        <x:v>88</x:v>
      </x:c>
    </x:row>
    <x:row r="90" ht="64" customHeight="1">
      <x:c r="A90" s="13" t="str">
        <x:v>STATE_PRESSURE_SPIKE</x:v>
      </x:c>
      <x:c r="B90" s="13" t="str">
        <x:v>4-5</x:v>
      </x:c>
      <x:c r="C90" s="13" t="str">
        <x:v>State</x:v>
      </x:c>
      <x:c r="D90" s="13" t="str">
        <x:v>Body-State</x:v>
      </x:c>
      <x:c r="E90" s="13" t="str">
        <x:v>Pressure spike ringing + inhale</x:v>
      </x:c>
      <x:c r="F90" s="13" t="n">
        <x:v>2</x:v>
      </x:c>
      <x:c r="G90" s="13" t="str">
        <x:v>3s</x:v>
      </x:c>
      <x:c r="H90" s="13" t="str">
        <x:v>No</x:v>
      </x:c>
      <x:c r="I90" s="13" t="str">
        <x:v>P0</x:v>
      </x:c>
      <x:c r="J90" s="13" t="str">
        <x:v>Generate + record</x:v>
      </x:c>
      <x:c r="K90" s="13" t="str">
        <x:v>Sine/noise + breath</x:v>
      </x:c>
      <x:c r="L90" s="13" t="str">
        <x:v>StateFX</x:v>
      </x:c>
      <x:c r="M90" s="13" t="str">
        <x:v>state.pressure.spike</x:v>
      </x:c>
      <x:c r="N90" s="13" t="str">
        <x:v>Brief sustained high-frequency tone in 800-1200 Hz range fading in over half second and out over one and a half seconds, with single sharp adult man inhale near end.</x:v>
      </x:c>
      <x:c r="O90" s="13" t="str">
        <x:v>Duck ambient bass for 2-3 seconds. Use sparingly: Anna death, wolves arrival.</x:v>
      </x:c>
      <x:c r="P90" s="13" t="str">
        <x:v>Not started</x:v>
      </x:c>
      <x:c r="Q90" s="13" t="str"/>
      <x:c r="R90" s="13" t="n">
        <x:v>89</x:v>
      </x:c>
    </x:row>
    <x:row r="91" ht="64" customHeight="1">
      <x:c r="A91" s="13" t="str">
        <x:v>STATE_NUMBNESS_ONSET</x:v>
      </x:c>
      <x:c r="B91" s="13" t="str">
        <x:v>3-5</x:v>
      </x:c>
      <x:c r="C91" s="13" t="str">
        <x:v>State</x:v>
      </x:c>
      <x:c r="D91" s="13" t="str">
        <x:v>Body-State</x:v>
      </x:c>
      <x:c r="E91" s="13" t="str">
        <x:v>Numbness onset filter/noise</x:v>
      </x:c>
      <x:c r="F91" s="13" t="n">
        <x:v>1</x:v>
      </x:c>
      <x:c r="G91" s="13" t="str">
        <x:v>mix automation</x:v>
      </x:c>
      <x:c r="H91" s="13" t="str">
        <x:v>No</x:v>
      </x:c>
      <x:c r="I91" s="13" t="str">
        <x:v>P0</x:v>
      </x:c>
      <x:c r="J91" s="13" t="str">
        <x:v>Mix automation</x:v>
      </x:c>
      <x:c r="K91" s="13" t="str">
        <x:v>Godot bus FX</x:v>
      </x:c>
      <x:c r="L91" s="13" t="str">
        <x:v>StateFX</x:v>
      </x:c>
      <x:c r="M91" s="13" t="str">
        <x:v>state.numbness.threshold</x:v>
      </x:c>
      <x:c r="N91" s="13" t="str">
        <x:v>No triggered SFX. Duck ambient by -6 dB, roll off highs with mild low-pass, dampen footsteps/breath, introduce faint pink-noise wash.</x:v>
      </x:c>
      <x:c r="O91" s="13" t="str">
        <x:v>World becomes less present rather than a cue announcing itself.</x:v>
      </x:c>
      <x:c r="P91" s="13" t="str">
        <x:v>Not started</x:v>
      </x:c>
      <x:c r="Q91" s="13" t="str"/>
      <x:c r="R91" s="13" t="n">
        <x:v>90</x:v>
      </x:c>
    </x:row>
    <x:row r="92" ht="64" customHeight="1">
      <x:c r="A92" s="13" t="str">
        <x:v>WELL_PUMP_HANDLE</x:v>
      </x:c>
      <x:c r="B92" s="13" t="str">
        <x:v>1</x:v>
      </x:c>
      <x:c r="C92" s="13" t="str">
        <x:v>Foley</x:v>
      </x:c>
      <x:c r="D92" s="13" t="str">
        <x:v>Water/Well</x:v>
      </x:c>
      <x:c r="E92" s="13" t="str">
        <x:v>Pump handle worked</x:v>
      </x:c>
      <x:c r="F92" s="13" t="n">
        <x:v>4</x:v>
      </x:c>
      <x:c r="G92" s="13" t="str">
        <x:v>3-4 strokes</x:v>
      </x:c>
      <x:c r="H92" s="13" t="str">
        <x:v>No</x:v>
      </x:c>
      <x:c r="I92" s="13" t="str">
        <x:v>P0</x:v>
      </x:c>
      <x:c r="J92" s="13" t="str">
        <x:v>Record/generate</x:v>
      </x:c>
      <x:c r="K92" s="13" t="str">
        <x:v>Metal/wood pump foley</x:v>
      </x:c>
      <x:c r="L92" s="13" t="str">
        <x:v>SFX_Foley</x:v>
      </x:c>
      <x:c r="M92" s="13" t="str">
        <x:v>interact.well.pump_handle</x:v>
      </x:c>
      <x:c r="N92" s="13" t="str">
        <x:v>Old well-pump handle worked for three to four strokes, metallic creak with back-pressure, cold outdoor air.</x:v>
      </x:c>
      <x:c r="O92" s="13" t="str">
        <x:v>Can layer handle creak separately from water flow.</x:v>
      </x:c>
      <x:c r="P92" s="13" t="str">
        <x:v>Not started</x:v>
      </x:c>
      <x:c r="Q92" s="13" t="str"/>
      <x:c r="R92" s="13" t="n">
        <x:v>91</x:v>
      </x:c>
    </x:row>
    <x:row r="93" ht="64" customHeight="1">
      <x:c r="A93" s="13" t="str">
        <x:v>WELL_WATER_BUCKET_FILL</x:v>
      </x:c>
      <x:c r="B93" s="13" t="str">
        <x:v>1</x:v>
      </x:c>
      <x:c r="C93" s="13" t="str">
        <x:v>Foley</x:v>
      </x:c>
      <x:c r="D93" s="13" t="str">
        <x:v>Water/Well</x:v>
      </x:c>
      <x:c r="E93" s="13" t="str">
        <x:v>Water emerging into bucket</x:v>
      </x:c>
      <x:c r="F93" s="13" t="n">
        <x:v>3</x:v>
      </x:c>
      <x:c r="G93" s="13" t="str">
        <x:v>4-8s</x:v>
      </x:c>
      <x:c r="H93" s="13" t="str">
        <x:v>No</x:v>
      </x:c>
      <x:c r="I93" s="13" t="str">
        <x:v>P0</x:v>
      </x:c>
      <x:c r="J93" s="13" t="str">
        <x:v>Record/generate</x:v>
      </x:c>
      <x:c r="K93" s="13" t="str">
        <x:v>Water + bucket foley</x:v>
      </x:c>
      <x:c r="L93" s="13" t="str">
        <x:v>SFX_Foley</x:v>
      </x:c>
      <x:c r="M93" s="13" t="str">
        <x:v>interact.well.bucket_fill</x:v>
      </x:c>
      <x:c r="N93" s="13" t="str">
        <x:v>Water emerging into bucket: first small splash, then steady fill, cold outdoor space, close/mid perspective.</x:v>
      </x:c>
      <x:c r="O93" s="13" t="str">
        <x:v>Fade to completion based on work timer.</x:v>
      </x:c>
      <x:c r="P93" s="13" t="str">
        <x:v>Not started</x:v>
      </x:c>
      <x:c r="Q93" s="13" t="str"/>
      <x:c r="R93" s="13" t="n">
        <x:v>92</x:v>
      </x:c>
    </x:row>
    <x:row r="94" ht="64" customHeight="1">
      <x:c r="A94" s="13" t="str">
        <x:v>BUCKET_LIFT_SLOSH</x:v>
      </x:c>
      <x:c r="B94" s="13" t="str">
        <x:v>1</x:v>
      </x:c>
      <x:c r="C94" s="13" t="str">
        <x:v>Foley</x:v>
      </x:c>
      <x:c r="D94" s="13" t="str">
        <x:v>Water/Well</x:v>
      </x:c>
      <x:c r="E94" s="13" t="str">
        <x:v>Bucket lifted with water</x:v>
      </x:c>
      <x:c r="F94" s="13" t="n">
        <x:v>4</x:v>
      </x:c>
      <x:c r="G94" s="13" t="str">
        <x:v>1-2s</x:v>
      </x:c>
      <x:c r="H94" s="13" t="str">
        <x:v>No</x:v>
      </x:c>
      <x:c r="I94" s="13" t="str">
        <x:v>P0</x:v>
      </x:c>
      <x:c r="J94" s="13" t="str">
        <x:v>Record foley</x:v>
      </x:c>
      <x:c r="K94" s="13" t="str">
        <x:v>Bucket/water + mic</x:v>
      </x:c>
      <x:c r="L94" s="13" t="str">
        <x:v>SFX_Foley</x:v>
      </x:c>
      <x:c r="M94" s="13" t="str">
        <x:v>interact.bucket.lift</x:v>
      </x:c>
      <x:c r="N94" s="13" t="str">
        <x:v>Bucket with water lifted, handle creak and slight water slosh, close-mic, naturalistic.</x:v>
      </x:c>
      <x:c r="O94" s="13" t="str">
        <x:v>Use on pickup/return from well.</x:v>
      </x:c>
      <x:c r="P94" s="13" t="str">
        <x:v>Not started</x:v>
      </x:c>
      <x:c r="Q94" s="13" t="str"/>
      <x:c r="R94" s="13" t="n">
        <x:v>93</x:v>
      </x:c>
    </x:row>
    <x:row r="95" ht="64" customHeight="1">
      <x:c r="A95" s="13" t="str">
        <x:v>COT_FRAME_CREAK</x:v>
      </x:c>
      <x:c r="B95" s="13" t="str">
        <x:v>1-4</x:v>
      </x:c>
      <x:c r="C95" s="13" t="str">
        <x:v>Foley</x:v>
      </x:c>
      <x:c r="D95" s="13" t="str">
        <x:v>Cot</x:v>
      </x:c>
      <x:c r="E95" s="13" t="str">
        <x:v>Cot rope/wood frame creak</x:v>
      </x:c>
      <x:c r="F95" s="13" t="n">
        <x:v>5</x:v>
      </x:c>
      <x:c r="G95" s="13" t="str">
        <x:v>0.5-2s</x:v>
      </x:c>
      <x:c r="H95" s="13" t="str">
        <x:v>No</x:v>
      </x:c>
      <x:c r="I95" s="13" t="str">
        <x:v>P1</x:v>
      </x:c>
      <x:c r="J95" s="13" t="str">
        <x:v>Record/generate</x:v>
      </x:c>
      <x:c r="K95" s="13" t="str">
        <x:v>Rope/wood foley</x:v>
      </x:c>
      <x:c r="L95" s="13" t="str">
        <x:v>SFX_Foley</x:v>
      </x:c>
      <x:c r="M95" s="13" t="str">
        <x:v>patient.cot.creak</x:v>
      </x:c>
      <x:c r="N95" s="13" t="str">
        <x:v>Rope-and-wood cot frame creaking under shifting weight, restrained, close/mid perspective.</x:v>
      </x:c>
      <x:c r="O95" s="13" t="str">
        <x:v>Trigger on patient movement or blanket adjust; rare.</x:v>
      </x:c>
      <x:c r="P95" s="13" t="str">
        <x:v>Not started</x:v>
      </x:c>
      <x:c r="Q95" s="13" t="str"/>
      <x:c r="R95" s="13" t="n">
        <x:v>94</x:v>
      </x:c>
    </x:row>
    <x:row r="96" ht="64" customHeight="1">
      <x:c r="A96" s="13" t="str">
        <x:v>DEER_HUFF_BOUND</x:v>
      </x:c>
      <x:c r="B96" s="13" t="str">
        <x:v>1</x:v>
      </x:c>
      <x:c r="C96" s="13" t="str">
        <x:v>Animal</x:v>
      </x:c>
      <x:c r="D96" s="13" t="str">
        <x:v>Deer</x:v>
      </x:c>
      <x:c r="E96" s="13" t="str">
        <x:v>Deer startled and bounding away</x:v>
      </x:c>
      <x:c r="F96" s="13" t="n">
        <x:v>2</x:v>
      </x:c>
      <x:c r="G96" s="13" t="str">
        <x:v>3s</x:v>
      </x:c>
      <x:c r="H96" s="13" t="str">
        <x:v>No</x:v>
      </x:c>
      <x:c r="I96" s="13" t="str">
        <x:v>P1</x:v>
      </x:c>
      <x:c r="J96" s="13" t="str">
        <x:v>Source/generate</x:v>
      </x:c>
      <x:c r="K96" s="13" t="str">
        <x:v>Library/ElevenLabs</x:v>
      </x:c>
      <x:c r="L96" s="13" t="str">
        <x:v>Creature</x:v>
      </x:c>
      <x:c r="M96" s="13" t="str">
        <x:v>encounter.deer.startled</x:v>
      </x:c>
      <x:c r="N96" s="13" t="str">
        <x:v>Single startled white-tailed deer huff snort followed by quick hooves bounding away through autumn leaves and breaking small branches, three second clip, mid-distance.</x:v>
      </x:c>
      <x:c r="O96" s="13" t="str">
        <x:v>P11 aggro-radius teaching. Avoid wolf-like timbre.</x:v>
      </x:c>
      <x:c r="P96" s="13" t="str">
        <x:v>Not started</x:v>
      </x:c>
      <x:c r="Q96" s="13" t="str"/>
      <x:c r="R96" s="13" t="n">
        <x:v>95</x:v>
      </x:c>
    </x:row>
    <x:row r="97" ht="64" customHeight="1">
      <x:c r="A97" s="13" t="str">
        <x:v>KANTELE_ACCIDENTAL_PLUCK</x:v>
      </x:c>
      <x:c r="B97" s="13" t="str">
        <x:v>1-5</x:v>
      </x:c>
      <x:c r="C97" s="13" t="str">
        <x:v>Foley</x:v>
      </x:c>
      <x:c r="D97" s="13" t="str">
        <x:v>Environmental Easter Egg</x:v>
      </x:c>
      <x:c r="E97" s="13" t="str">
        <x:v>Accidental kantele D-natural pluck</x:v>
      </x:c>
      <x:c r="F97" s="13" t="n">
        <x:v>1</x:v>
      </x:c>
      <x:c r="G97" s="13" t="str">
        <x:v>2s decay</x:v>
      </x:c>
      <x:c r="H97" s="13" t="str">
        <x:v>No</x:v>
      </x:c>
      <x:c r="I97" s="13" t="str">
        <x:v>P2</x:v>
      </x:c>
      <x:c r="J97" s="13" t="str">
        <x:v>Record instrument</x:v>
      </x:c>
      <x:c r="K97" s="13" t="str">
        <x:v>Kantele/zither sample</x:v>
      </x:c>
      <x:c r="L97" s="13" t="str">
        <x:v>SFX_Foley</x:v>
      </x:c>
      <x:c r="M97" s="13" t="str">
        <x:v>environment.kantele.brush</x:v>
      </x:c>
      <x:c r="N97" s="13" t="str">
        <x:v>Single accidental pluck of one string on a kantele Finnish zither, single D-natural note sustained for two seconds with natural decay, slight room reverb.</x:v>
      </x:c>
      <x:c r="O97" s="13" t="str">
        <x:v>Easter egg. Keep rare and subtle.</x:v>
      </x:c>
      <x:c r="P97" s="13" t="str">
        <x:v>Not started</x:v>
      </x:c>
      <x:c r="Q97" s="13" t="str"/>
      <x:c r="R97" s="13" t="n">
        <x:v>96</x:v>
      </x:c>
    </x:row>
    <x:row r="98" ht="64" customHeight="1">
      <x:c r="A98" s="13" t="str">
        <x:v>BREAD_BREAK</x:v>
      </x:c>
      <x:c r="B98" s="13" t="str">
        <x:v>2</x:v>
      </x:c>
      <x:c r="C98" s="13" t="str">
        <x:v>Foley</x:v>
      </x:c>
      <x:c r="D98" s="13" t="str">
        <x:v>Bread</x:v>
      </x:c>
      <x:c r="E98" s="13" t="str">
        <x:v>Break bread</x:v>
      </x:c>
      <x:c r="F98" s="13" t="n">
        <x:v>5</x:v>
      </x:c>
      <x:c r="G98" s="13" t="str">
        <x:v>0.5-1.5s</x:v>
      </x:c>
      <x:c r="H98" s="13" t="str">
        <x:v>No</x:v>
      </x:c>
      <x:c r="I98" s="13" t="str">
        <x:v>P0</x:v>
      </x:c>
      <x:c r="J98" s="13" t="str">
        <x:v>Record real foley</x:v>
      </x:c>
      <x:c r="K98" s="13" t="str">
        <x:v>Bread/crust + mic</x:v>
      </x:c>
      <x:c r="L98" s="13" t="str">
        <x:v>SFX_Foley</x:v>
      </x:c>
      <x:c r="M98" s="13" t="str">
        <x:v>care.bread.break</x:v>
      </x:c>
      <x:c r="N98" s="13" t="str">
        <x:v>Small piece of day-old bread broken by hand, dry crust crackle and soft interior tear, close-mic, restrained.</x:v>
      </x:c>
      <x:c r="O98" s="13" t="str">
        <x:v>Active Act 2 is bread. This is missing from brief but essential to the revised slice.</x:v>
      </x:c>
      <x:c r="P98" s="13" t="str">
        <x:v>Not started</x:v>
      </x:c>
      <x:c r="Q98" s="13" t="str"/>
      <x:c r="R98" s="13" t="n">
        <x:v>97</x:v>
      </x:c>
    </x:row>
    <x:row r="99" ht="64" customHeight="1">
      <x:c r="A99" s="13" t="str">
        <x:v>BREAD_OFFER_HAND</x:v>
      </x:c>
      <x:c r="B99" s="13" t="str">
        <x:v>2</x:v>
      </x:c>
      <x:c r="C99" s="13" t="str">
        <x:v>Foley</x:v>
      </x:c>
      <x:c r="D99" s="13" t="str">
        <x:v>Bread</x:v>
      </x:c>
      <x:c r="E99" s="13" t="str">
        <x:v>Offer/receive bread by hand</x:v>
      </x:c>
      <x:c r="F99" s="13" t="n">
        <x:v>4</x:v>
      </x:c>
      <x:c r="G99" s="13" t="str">
        <x:v>1-2s</x:v>
      </x:c>
      <x:c r="H99" s="13" t="str">
        <x:v>No</x:v>
      </x:c>
      <x:c r="I99" s="13" t="str">
        <x:v>P0</x:v>
      </x:c>
      <x:c r="J99" s="13" t="str">
        <x:v>Record real foley</x:v>
      </x:c>
      <x:c r="K99" s="13" t="str">
        <x:v>Hands/cloth/bread + mic</x:v>
      </x:c>
      <x:c r="L99" s="13" t="str">
        <x:v>SFX_Foley</x:v>
      </x:c>
      <x:c r="M99" s="13" t="str">
        <x:v>care.bread.offer</x:v>
      </x:c>
      <x:c r="N99" s="13" t="str">
        <x:v>Hands offering and receiving a small piece of bread, soft cloth movement, dry bread handling, close-mic, intimate.</x:v>
      </x:c>
      <x:c r="O99" s="13" t="str">
        <x:v>Pair with child receptivity/trust events.</x:v>
      </x:c>
      <x:c r="P99" s="13" t="str">
        <x:v>Not started</x:v>
      </x:c>
      <x:c r="Q99" s="13" t="str"/>
      <x:c r="R99" s="13" t="n">
        <x:v>98</x:v>
      </x:c>
    </x:row>
    <x:row r="100" ht="64" customHeight="1">
      <x:c r="A100" s="13" t="str">
        <x:v>BREAD_MOISTEN</x:v>
      </x:c>
      <x:c r="B100" s="13" t="str">
        <x:v>2</x:v>
      </x:c>
      <x:c r="C100" s="13" t="str">
        <x:v>Foley</x:v>
      </x:c>
      <x:c r="D100" s="13" t="str">
        <x:v>Bread</x:v>
      </x:c>
      <x:c r="E100" s="13" t="str">
        <x:v>Moisten bread</x:v>
      </x:c>
      <x:c r="F100" s="13" t="n">
        <x:v>3</x:v>
      </x:c>
      <x:c r="G100" s="13" t="str">
        <x:v>1-2s</x:v>
      </x:c>
      <x:c r="H100" s="13" t="str">
        <x:v>No</x:v>
      </x:c>
      <x:c r="I100" s="13" t="str">
        <x:v>P1</x:v>
      </x:c>
      <x:c r="J100" s="13" t="str">
        <x:v>Record real foley</x:v>
      </x:c>
      <x:c r="K100" s="13" t="str">
        <x:v>Tin cup + bread + water</x:v>
      </x:c>
      <x:c r="L100" s="13" t="str">
        <x:v>SFX_Foley</x:v>
      </x:c>
      <x:c r="M100" s="13" t="str">
        <x:v>care.bread.moisten</x:v>
      </x:c>
      <x:c r="N100" s="13" t="str">
        <x:v>Small piece of bread moistened with a few drops of water from tin cup, close-mic, subtle.</x:v>
      </x:c>
      <x:c r="O100" s="13" t="str">
        <x:v>Supports wait-for-breath / gentle care beat.</x:v>
      </x:c>
      <x:c r="P100" s="13" t="str">
        <x:v>Not started</x:v>
      </x:c>
      <x:c r="Q100" s="13" t="str"/>
      <x:c r="R100" s="13" t="n">
        <x:v>99</x:v>
      </x:c>
    </x:row>
  </x:sheetData>
  <x:conditionalFormatting sqref="I2:I100">
    <x:cfRule type="expression" dxfId="0" priority="1">
      <x:formula>I2="P0"</x:formula>
    </x:cfRule>
  </x:conditionalFormatting>
  <x:conditionalFormatting sqref="P2:P100">
    <x:cfRule type="expression" dxfId="1" priority="2">
      <x:formula>P2="Needs redo"</x:formula>
    </x:cfRule>
    <x:cfRule type="expression" dxfId="2" priority="3">
      <x:formula>P2="Verified"</x:formula>
    </x:cfRule>
  </x:conditionalFormatting>
  <x:dataValidations count="2">
    <x:dataValidation type="list" sqref="P2:P100">
      <x:formula1>"Not started,Prompt ready,Generated,Recorded,Edited,Implemented,Verified,Needs redo"</x:formula1>
    </x:dataValidation>
    <x:dataValidation type="list" sqref="I2:I100">
      <x:formula1>"P0,P1,P2"</x:formula1>
    </x:dataValidation>
  </x:dataValidations>
  <x:pageMargins left="0.7" right="0.7" top="0.75" bottom="0.75" header="0.3" footer="0.3"/>
  <x:tableParts count="1">
    <x:tablePart xmlns:r="http://schemas.openxmlformats.org/officeDocument/2006/relationships" r:id="R7941c7f4e4a7404d"/>
  </x:tableParts>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12" hidden="0" customWidth="1"/>
    <x:col min="4" max="4" width="52" hidden="0" customWidth="1"/>
    <x:col min="5" max="5" width="42" hidden="0" customWidth="1"/>
    <x:col min="6" max="6" width="54" hidden="0" customWidth="1"/>
    <x:col min="7" max="7" width="26" hidden="0" customWidth="1"/>
    <x:col min="8" max="8" width="32" hidden="0" customWidth="1"/>
  </x:cols>
  <x:sheetData>
    <x:row r="1">
      <x:c r="A1" s="19" t="str">
        <x:v>Loop ID</x:v>
      </x:c>
      <x:c r="B1" s="19" t="str">
        <x:v>Scene</x:v>
      </x:c>
      <x:c r="C1" s="19" t="str">
        <x:v>Length</x:v>
      </x:c>
      <x:c r="D1" s="19" t="str">
        <x:v>Core Layers</x:v>
      </x:c>
      <x:c r="E1" s="19" t="str">
        <x:v>Stem Strategy</x:v>
      </x:c>
      <x:c r="F1" s="19" t="str">
        <x:v>Looping/Mix Notes</x:v>
      </x:c>
      <x:c r="G1" s="19" t="str">
        <x:v>Start Events</x:v>
      </x:c>
      <x:c r="H1" s="19" t="str">
        <x:v>Exit/Transition</x:v>
      </x:c>
    </x:row>
    <x:row r="2" ht="72" customHeight="1">
      <x:c r="A2" s="13" t="str">
        <x:v>AMB_INT_DAY_LOOP</x:v>
      </x:c>
      <x:c r="B2" s="13" t="str">
        <x:v>Cabin interior day</x:v>
      </x:c>
      <x:c r="C2" s="13" t="str">
        <x:v>3:00</x:v>
      </x:c>
      <x:c r="D2" s="13" t="str">
        <x:v>Hearth, wood creaks, shutters wind, wall clock, low building drone, distant birds</x:v>
      </x:c>
      <x:c r="E2" s="13" t="str">
        <x:v>Render full bed plus separate clock/hearth if possible</x:v>
      </x:c>
      <x:c r="F2" s="13" t="str">
        <x:v>Clock and hearth continuous; low LF drone barely heard; random wood creaks every 20-45s</x:v>
      </x:c>
      <x:c r="G2" s="13" t="str">
        <x:v>scene.cabin.day.enter</x:v>
      </x:c>
      <x:c r="H2" s="13" t="str">
        <x:v>Crossfade to dusk on Act 4 light shift</x:v>
      </x:c>
    </x:row>
    <x:row r="3" ht="72" customHeight="1">
      <x:c r="A3" s="13" t="str">
        <x:v>AMB_INT_DUSK_LOOP</x:v>
      </x:c>
      <x:c r="B3" s="13" t="str">
        <x:v>Cabin interior dusk/evening</x:v>
      </x:c>
      <x:c r="C3" s="13" t="str">
        <x:v>3:00</x:v>
      </x:c>
      <x:c r="D3" s="13" t="str">
        <x:v>Prominent hearth, louder clock, stronger shutters wind, settling pops, no birds</x:v>
      </x:c>
      <x:c r="E3" s="13" t="str">
        <x:v>Render full bed plus separate hearth/clock/wind if possible</x:v>
      </x:c>
      <x:c r="F3" s="13" t="str">
        <x:v>More frequent creaks every 15-30s; no dramatic stings; keep death moment empty</x:v>
      </x:c>
      <x:c r="G3" s="13" t="str">
        <x:v>scene.cabin.dusk.enter</x:v>
      </x:c>
      <x:c r="H3" s="13" t="str">
        <x:v>Duck during wolf door special events, but hearth/clock remain</x:v>
      </x:c>
    </x:row>
    <x:row r="4" ht="72" customHeight="1">
      <x:c r="A4" s="13" t="str">
        <x:v>AMB_EXT_YARD_DAY_LOOP</x:v>
      </x:c>
      <x:c r="B4" s="13" t="str">
        <x:v>Cabin yard daytime</x:v>
      </x:c>
      <x:c r="C4" s="13" t="str">
        <x:v>2:30</x:v>
      </x:c>
      <x:c r="D4" s="13" t="str">
        <x:v>Wind in hardwood/hemlock, branch creak, chickadees/nuthatches/crow, faint pump, dry leaves, woodpecker</x:v>
      </x:c>
      <x:c r="E4" s="13" t="str">
        <x:v>Render full bed plus bird/pump optional stems</x:v>
      </x:c>
      <x:c r="F4" s="13" t="str">
        <x:v>Cold thin highs; peaceful but desolate; mid-distance yard perspective</x:v>
      </x:c>
      <x:c r="G4" s="13" t="str">
        <x:v>scene.yard.day.enter</x:v>
      </x:c>
      <x:c r="H4" s="13" t="str">
        <x:v>Crossfade to interior or forest edge</x:v>
      </x:c>
    </x:row>
    <x:row r="5" ht="72" customHeight="1">
      <x:c r="A5" s="13" t="str">
        <x:v>AMB_EXT_YARD_DUSK_LOOP</x:v>
      </x:c>
      <x:c r="B5" s="13" t="str">
        <x:v>Cabin yard dusk</x:v>
      </x:c>
      <x:c r="C5" s="13" t="str">
        <x:v>2:30</x:v>
      </x:c>
      <x:c r="D5" s="13" t="str">
        <x:v>Stronger wind, owl, less leaves, distant coyote/wolf once, branch fall, pump creak</x:v>
      </x:c>
      <x:c r="E5" s="13" t="str">
        <x:v>Render full bed; consider wolf/coyote as separate stem for muting during combat</x:v>
      </x:c>
      <x:c r="F5" s="13" t="str">
        <x:v>Foreboding not alarming; use after wolves retreat with a silence beat first</x:v>
      </x:c>
      <x:c r="G5" s="13" t="str">
        <x:v>scene.yard.dusk.enter</x:v>
      </x:c>
      <x:c r="H5" s="13" t="str">
        <x:v>Duck/replace during wolf encounter</x:v>
      </x:c>
    </x:row>
    <x:row r="6" ht="72" customHeight="1">
      <x:c r="A6" s="13" t="str">
        <x:v>AMB_FOREST_EDGE_LOOP</x:v>
      </x:c>
      <x:c r="B6" s="13" t="str">
        <x:v>Forest edge foraging</x:v>
      </x:c>
      <x:c r="C6" s="13" t="str">
        <x:v>2:30</x:v>
      </x:c>
      <x:c r="D6" s="13" t="str">
        <x:v>Close wind, leaf rustle, nearby chickadee/nuthatch, squirrel, faint creek, branch scraping</x:v>
      </x:c>
      <x:c r="E6" s="13" t="str">
        <x:v>Render full bed plus leaf/animal optional stems</x:v>
      </x:c>
      <x:c r="F6" s="13" t="str">
        <x:v>Close perspective; peaceful; no wolf foreshadow unless via scripted event</x:v>
      </x:c>
      <x:c r="G6" s="13" t="str">
        <x:v>scene.forest_edge.enter</x:v>
      </x:c>
      <x:c r="H6" s="13" t="str">
        <x:v>Return to yard/interior</x:v>
      </x:c>
    </x:row>
  </x:sheetData>
  <x:pageMargins left="0.7" right="0.7" top="0.75" bottom="0.75" header="0.3" footer="0.3"/>
  <x:tableParts count="1">
    <x:tablePart xmlns:r="http://schemas.openxmlformats.org/officeDocument/2006/relationships" r:id="Rbcd8ab0d310149b3"/>
  </x:tableParts>
</x:worksheet>
</file>

<file path=xl/worksheets/sheet4.xml><?xml version="1.0" encoding="utf-8"?>
<x:worksheet xmlns:x="http://schemas.openxmlformats.org/spreadsheetml/2006/main">
  <x:sheetFormatPr defaultRowHeight="15"/>
  <x:cols>
    <x:col min="1" max="1" width="16" hidden="0" customWidth="1"/>
    <x:col min="2" max="2" width="10" hidden="0" customWidth="1"/>
    <x:col min="3" max="3" width="34" hidden="0" customWidth="1"/>
    <x:col min="4" max="4" width="42" hidden="0" customWidth="1"/>
    <x:col min="5" max="5" width="28" hidden="0" customWidth="1"/>
    <x:col min="6" max="6" width="40" hidden="0" customWidth="1"/>
    <x:col min="7" max="7" width="38" hidden="0" customWidth="1"/>
    <x:col min="8" max="8" width="44" hidden="0" customWidth="1"/>
  </x:cols>
  <x:sheetData>
    <x:row r="1">
      <x:c r="A1" s="27" t="str">
        <x:v>Capture ID</x:v>
      </x:c>
      <x:c r="B1" s="27" t="str">
        <x:v>Priority</x:v>
      </x:c>
      <x:c r="C1" s="27" t="str">
        <x:v>Asset IDs Covered</x:v>
      </x:c>
      <x:c r="D1" s="27" t="str">
        <x:v>Props / Setup</x:v>
      </x:c>
      <x:c r="E1" s="27" t="str">
        <x:v>Mic Perspective</x:v>
      </x:c>
      <x:c r="F1" s="27" t="str">
        <x:v>Take Plan</x:v>
      </x:c>
      <x:c r="G1" s="27" t="str">
        <x:v>Editing Notes</x:v>
      </x:c>
      <x:c r="H1" s="27" t="str">
        <x:v>Why It Matters</x:v>
      </x:c>
    </x:row>
    <x:row r="2" ht="82" customHeight="1">
      <x:c r="A2" s="13" t="str">
        <x:v>CAP_001</x:v>
      </x:c>
      <x:c r="B2" s="13" t="str">
        <x:v>P0</x:v>
      </x:c>
      <x:c r="C2" s="13" t="str">
        <x:v>FOOT_KALEV_*</x:v>
      </x:c>
      <x:c r="D2" s="13" t="str">
        <x:v>Boots, aged pine board, dirt tray, dry leaves, damp forest duff, twigs</x:v>
      </x:c>
      <x:c r="E2" s="13" t="str">
        <x:v>Close mic 20-40 cm; optional room mic for forest</x:v>
      </x:c>
      <x:c r="F2" s="13" t="str">
        <x:v>10 walk + 8 run per surface; sort by surface and energy</x:v>
      </x:c>
      <x:c r="G2" s="13" t="str">
        <x:v>Trim tight, leave 20-80ms pre-roll; normalize by category not to 0 dB</x:v>
      </x:c>
      <x:c r="H2" s="13" t="str">
        <x:v>Footsteps are heard hundreds of times; real foley prevents repetition fatigue.</x:v>
      </x:c>
    </x:row>
    <x:row r="3" ht="82" customHeight="1">
      <x:c r="A3" s="13" t="str">
        <x:v>CAP_002</x:v>
      </x:c>
      <x:c r="B3" s="13" t="str">
        <x:v>P0</x:v>
      </x:c>
      <x:c r="C3" s="13" t="str">
        <x:v>BODY_KALEV_CLOTH</x:v>
      </x:c>
      <x:c r="D3" s="13" t="str">
        <x:v>Wool coat/scarf, linen shirt, gloves, kneeling/reaching movements</x:v>
      </x:c>
      <x:c r="E3" s="13" t="str">
        <x:v>Close mic 15-30 cm</x:v>
      </x:c>
      <x:c r="F3" s="13" t="str">
        <x:v>30 short gestures, label turn/reach/kneel/grip</x:v>
      </x:c>
      <x:c r="G3" s="13" t="str">
        <x:v>High-pass rumble; keep dynamics natural</x:v>
      </x:c>
      <x:c r="H3" s="13" t="str">
        <x:v>Body presence is key to 'inhabiting a body in a room'.</x:v>
      </x:c>
    </x:row>
    <x:row r="4" ht="82" customHeight="1">
      <x:c r="A4" s="13" t="str">
        <x:v>CAP_003</x:v>
      </x:c>
      <x:c r="B4" s="13" t="str">
        <x:v>P0</x:v>
      </x:c>
      <x:c r="C4" s="13" t="str">
        <x:v>BREATH_KALEV_*</x:v>
      </x:c>
      <x:c r="D4" s="13" t="str">
        <x:v>Quiet room; pop filter; seated, working, combat states</x:v>
      </x:c>
      <x:c r="E4" s="13" t="str">
        <x:v>Very close mic but not ASMR; avoid mouth clicks</x:v>
      </x:c>
      <x:c r="F4" s="13" t="str">
        <x:v>3 clean loops per state + one-shots</x:v>
      </x:c>
      <x:c r="G4" s="13" t="str">
        <x:v>Loop with crossfades; low volume; de-noise lightly</x:v>
      </x:c>
      <x:c r="H4" s="13" t="str">
        <x:v>Breath carries calm, labor, fear, and grief.</x:v>
      </x:c>
    </x:row>
    <x:row r="5" ht="82" customHeight="1">
      <x:c r="A5" s="13" t="str">
        <x:v>CAP_004</x:v>
      </x:c>
      <x:c r="B5" s="13" t="str">
        <x:v>P0</x:v>
      </x:c>
      <x:c r="C5" s="13" t="str">
        <x:v>NOTEBOOK_* MARGINALIA_* WITNESS_TICK</x:v>
      </x:c>
      <x:c r="D5" s="13" t="str">
        <x:v>Leather notebook, rough paper, graphite pencil/stub</x:v>
      </x:c>
      <x:c r="E5" s="13" t="str">
        <x:v>Close mic 10-20 cm</x:v>
      </x:c>
      <x:c r="F5" s="13" t="str">
        <x:v>50 strokes, 12 page turns, open/close variations</x:v>
      </x:c>
      <x:c r="G5" s="13" t="str">
        <x:v>Keep scratches soft; no pen/marker sound</x:v>
      </x:c>
      <x:c r="H5" s="13" t="str">
        <x:v>Notebook is a core UI surface and emotional record.</x:v>
      </x:c>
    </x:row>
    <x:row r="6" ht="82" customHeight="1">
      <x:c r="A6" s="13" t="str">
        <x:v>CAP_005</x:v>
      </x:c>
      <x:c r="B6" s="13" t="str">
        <x:v>P0</x:v>
      </x:c>
      <x:c r="C6" s="13" t="str">
        <x:v>CARE_*</x:v>
      </x:c>
      <x:c r="D6" s="13" t="str">
        <x:v>Tin cup, water, wooden bedside table, quilt, skin/sleeve</x:v>
      </x:c>
      <x:c r="E6" s="13" t="str">
        <x:v>Close intimate foley</x:v>
      </x:c>
      <x:c r="F6" s="13" t="str">
        <x:v>10 cup pours, 10 setdowns, 8 blanket moves, 4 fever touches</x:v>
      </x:c>
      <x:c r="G6" s="13" t="str">
        <x:v>Avoid theatricality; very low noise floor</x:v>
      </x:c>
      <x:c r="H6" s="13" t="str">
        <x:v>Patient care needs intimacy that generation often misses.</x:v>
      </x:c>
    </x:row>
    <x:row r="7" ht="82" customHeight="1">
      <x:c r="A7" s="13" t="str">
        <x:v>CAP_006</x:v>
      </x:c>
      <x:c r="B7" s="13" t="str">
        <x:v>P0</x:v>
      </x:c>
      <x:c r="C7" s="13" t="str">
        <x:v>CARE_PATIENT_DRINK_SWALLOW</x:v>
      </x:c>
      <x:c r="D7" s="13" t="str">
        <x:v>Clean human swallow with tin cup handling</x:v>
      </x:c>
      <x:c r="E7" s="13" t="str">
        <x:v>Close but restrained; no exaggerated gulps</x:v>
      </x:c>
      <x:c r="F7" s="13" t="str">
        <x:v>6 swallows + cup lift/lower variations</x:v>
      </x:c>
      <x:c r="G7" s="13" t="str">
        <x:v>Comp carefully; remove performance artifacts</x:v>
      </x:c>
      <x:c r="H7" s="13" t="str">
        <x:v>This is emotionally load-bearing and should not sound fake.</x:v>
      </x:c>
    </x:row>
    <x:row r="8" ht="82" customHeight="1">
      <x:c r="A8" s="13" t="str">
        <x:v>CAP_007</x:v>
      </x:c>
      <x:c r="B8" s="13" t="str">
        <x:v>P0</x:v>
      </x:c>
      <x:c r="C8" s="13" t="str">
        <x:v>CRAFT_MORTAR_* CRAFT_FLASK_* CRAFT_CORK_*</x:v>
      </x:c>
      <x:c r="D8" s="13" t="str">
        <x:v>Ceramic mortar/pestle, dried herbs, roots, glass flask, cork, water</x:v>
      </x:c>
      <x:c r="E8" s="13" t="str">
        <x:v>Close dry foley</x:v>
      </x:c>
      <x:c r="F8" s="13" t="str">
        <x:v>12 herb grinds, 12 root grinds, 8 glass setdowns, 6 corks</x:v>
      </x:c>
      <x:c r="G8" s="13" t="str">
        <x:v>Preserve material identity; don't over-compress</x:v>
      </x:c>
      <x:c r="H8" s="13" t="str">
        <x:v>Crafting is a load-bearing interaction in Act 3.</x:v>
      </x:c>
    </x:row>
    <x:row r="9" ht="82" customHeight="1">
      <x:c r="A9" s="13" t="str">
        <x:v>CAP_008</x:v>
      </x:c>
      <x:c r="B9" s="13" t="str">
        <x:v>P0</x:v>
      </x:c>
      <x:c r="C9" s="13" t="str">
        <x:v>POUCH_*</x:v>
      </x:c>
      <x:c r="D9" s="13" t="str">
        <x:v>Leather pouch, drawstring, bead, vial/stone/cork props</x:v>
      </x:c>
      <x:c r="E9" s="13" t="str">
        <x:v>Close dry foley</x:v>
      </x:c>
      <x:c r="F9" s="13" t="str">
        <x:v>8 open/close, 10 item in/out</x:v>
      </x:c>
      <x:c r="G9" s="13" t="str">
        <x:v>Cut into tactile UI-ready one-shots</x:v>
      </x:c>
      <x:c r="H9" s="13" t="str">
        <x:v>Inventory should feel diegetic, not gamey.</x:v>
      </x:c>
    </x:row>
    <x:row r="10" ht="82" customHeight="1">
      <x:c r="A10" s="13" t="str">
        <x:v>CAP_009</x:v>
      </x:c>
      <x:c r="B10" s="13" t="str">
        <x:v>P0</x:v>
      </x:c>
      <x:c r="C10" s="13" t="str">
        <x:v>BREAD_*</x:v>
      </x:c>
      <x:c r="D10" s="13" t="str">
        <x:v>Day-old bread/crust, tin cup water, hands/cloth</x:v>
      </x:c>
      <x:c r="E10" s="13" t="str">
        <x:v>Close intimate foley</x:v>
      </x:c>
      <x:c r="F10" s="13" t="str">
        <x:v>10 break, 8 offer, 6 moisten</x:v>
      </x:c>
      <x:c r="G10" s="13" t="str">
        <x:v>Keep soft, ordinary, non-heroic</x:v>
      </x:c>
      <x:c r="H10" s="13" t="str">
        <x:v>Act 2 is bread; this fills the tactile gap in the brief.</x:v>
      </x:c>
    </x:row>
    <x:row r="11" ht="82" customHeight="1">
      <x:c r="A11" s="13" t="str">
        <x:v>CAP_010</x:v>
      </x:c>
      <x:c r="B11" s="13" t="str">
        <x:v>P0</x:v>
      </x:c>
      <x:c r="C11" s="13" t="str">
        <x:v>CUDGEL_*</x:v>
      </x:c>
      <x:c r="D11" s="13" t="str">
        <x:v>Wood cudgel/stick, leather gloves, wood wall/floor, dirt, padded impact target</x:v>
      </x:c>
      <x:c r="E11" s="13" t="str">
        <x:v>Close + mid room</x:v>
      </x:c>
      <x:c r="F11" s="13" t="str">
        <x:v>12 swings, 10 impacts per surface, 8 grip shifts</x:v>
      </x:c>
      <x:c r="G11" s="13" t="str">
        <x:v>Layer impact on wolf carefully; not gory</x:v>
      </x:c>
      <x:c r="H11" s="13" t="str">
        <x:v>Combat must be physical without becoming fantasy bombast.</x:v>
      </x:c>
    </x:row>
    <x:row r="12" ht="82" customHeight="1">
      <x:c r="A12" s="13" t="str">
        <x:v>CAP_011</x:v>
      </x:c>
      <x:c r="B12" s="13" t="str">
        <x:v>P0</x:v>
      </x:c>
      <x:c r="C12" s="13" t="str">
        <x:v>ANNA_BREATH_RALLY_STOP NOTEBOOK_ANNA_NAME_WRITE</x:v>
      </x:c>
      <x:c r="D12" s="13" t="str">
        <x:v>Actor/voice, pencil, notebook</x:v>
      </x:c>
      <x:c r="E12" s="13" t="str">
        <x:v>Close intimate</x:v>
      </x:c>
      <x:c r="F12" s="13" t="str">
        <x:v>Multiple restrained performances, pick least theatrical</x:v>
      </x:c>
      <x:c r="G12" s="13" t="str">
        <x:v>Mix around absence; no reverb wash</x:v>
      </x:c>
      <x:c r="H12" s="13" t="str">
        <x:v>Single most emotionally loaded sound design moment.</x:v>
      </x:c>
    </x:row>
    <x:row r="13" ht="82" customHeight="1">
      <x:c r="A13" s="13" t="str">
        <x:v>CAP_012</x:v>
      </x:c>
      <x:c r="B13" s="13" t="str">
        <x:v>P1</x:v>
      </x:c>
      <x:c r="C13" s="13" t="str">
        <x:v>WELL_* BUCKET_* COT_* DEER_*</x:v>
      </x:c>
      <x:c r="D13" s="13" t="str">
        <x:v>Pump/metal proxy, bucket, water, rope/wood cot, leaves/branches</x:v>
      </x:c>
      <x:c r="E13" s="13" t="str">
        <x:v>Close + mid outdoor if possible</x:v>
      </x:c>
      <x:c r="F13" s="13" t="str">
        <x:v>As needed by level implementation</x:v>
      </x:c>
      <x:c r="G13" s="13" t="str">
        <x:v>Place spatially; keep cold-air tone</x:v>
      </x:c>
      <x:c r="H13" s="13" t="str">
        <x:v>Environmental specificity sells the cabin and yard.</x:v>
      </x:c>
    </x:row>
  </x:sheetData>
  <x:pageMargins left="0.7" right="0.7" top="0.75" bottom="0.75" header="0.3" footer="0.3"/>
  <x:tableParts count="1">
    <x:tablePart xmlns:r="http://schemas.openxmlformats.org/officeDocument/2006/relationships" r:id="Rf9485656dd564d1a"/>
  </x:tableParts>
</x:worksheet>
</file>

<file path=xl/worksheets/sheet5.xml><?xml version="1.0" encoding="utf-8"?>
<x:worksheet xmlns:x="http://schemas.openxmlformats.org/spreadsheetml/2006/main">
  <x:sheetFormatPr defaultRowHeight="15"/>
  <x:cols>
    <x:col min="1" max="1" width="20" hidden="0" customWidth="1"/>
    <x:col min="2" max="2" width="34" hidden="0" customWidth="1"/>
    <x:col min="3" max="3" width="20" hidden="0" customWidth="1"/>
    <x:col min="4" max="4" width="38" hidden="0" customWidth="1"/>
    <x:col min="5" max="5" width="42" hidden="0" customWidth="1"/>
    <x:col min="6" max="6" width="46" hidden="0" customWidth="1"/>
  </x:cols>
  <x:sheetData>
    <x:row r="1">
      <x:c r="A1" s="35" t="str">
        <x:v>Bus</x:v>
      </x:c>
      <x:c r="B1" s="35" t="str">
        <x:v>Purpose</x:v>
      </x:c>
      <x:c r="C1" s="35" t="str">
        <x:v>Default Level</x:v>
      </x:c>
      <x:c r="D1" s="35" t="str">
        <x:v>Processing</x:v>
      </x:c>
      <x:c r="E1" s="35" t="str">
        <x:v>Ducking / Automation</x:v>
      </x:c>
      <x:c r="F1" s="35" t="str">
        <x:v>Notes</x:v>
      </x:c>
    </x:row>
    <x:row r="2" ht="74" customHeight="1">
      <x:c r="A2" s="13" t="str">
        <x:v>Master</x:v>
      </x:c>
      <x:c r="B2" s="13" t="str">
        <x:v>Final output</x:v>
      </x:c>
      <x:c r="C2" s="13" t="str">
        <x:v>0 dB</x:v>
      </x:c>
      <x:c r="D2" s="13" t="str">
        <x:v>Limiter only for safety; no heavy mastering</x:v>
      </x:c>
      <x:c r="E2" s="13" t="str">
        <x:v>Global pause/fade controls</x:v>
      </x:c>
      <x:c r="F2" s="13" t="str">
        <x:v>Keep the game quiet by default.</x:v>
      </x:c>
    </x:row>
    <x:row r="3" ht="74" customHeight="1">
      <x:c r="A3" s="13" t="str">
        <x:v>AMB_Interior</x:v>
      </x:c>
      <x:c r="B3" s="13" t="str">
        <x:v>Cabin beds</x:v>
      </x:c>
      <x:c r="C3" s="13" t="str">
        <x:v>-22 to -18 LUFS-ish bed</x:v>
      </x:c>
      <x:c r="D3" s="13" t="str">
        <x:v>Subtle high-frequency thinness; optional low building drone</x:v>
      </x:c>
      <x:c r="E3" s="13" t="str">
        <x:v>Ducked by SpecialEvents; Numbness low-pass/duck</x:v>
      </x:c>
      <x:c r="F3" s="13" t="str">
        <x:v>Hearth and clock may be split into child buses for death scene continuity.</x:v>
      </x:c>
    </x:row>
    <x:row r="4" ht="74" customHeight="1">
      <x:c r="A4" s="13" t="str">
        <x:v>AMB_Exterior</x:v>
      </x:c>
      <x:c r="B4" s="13" t="str">
        <x:v>Yard/forest beds</x:v>
      </x:c>
      <x:c r="C4" s="13" t="str">
        <x:v>-24 to -18 LUFS-ish bed</x:v>
      </x:c>
      <x:c r="D4" s="13" t="str">
        <x:v>Cold-air EQ; distance-preserving stereo</x:v>
      </x:c>
      <x:c r="E4" s="13" t="str">
        <x:v>Ducked/replaced by Creature during wolves; fade back after retreat</x:v>
      </x:c>
      <x:c r="F4" s="13" t="str">
        <x:v>Use stem muting for wolf/coyote in ambient loop.</x:v>
      </x:c>
    </x:row>
    <x:row r="5" ht="74" customHeight="1">
      <x:c r="A5" s="13" t="str">
        <x:v>SFX_Body</x:v>
      </x:c>
      <x:c r="B5" s="13" t="str">
        <x:v>Kalev breath, cloth, footsteps</x:v>
      </x:c>
      <x:c r="C5" s="13" t="str">
        <x:v>Quiet but readable</x:v>
      </x:c>
      <x:c r="D5" s="13" t="str">
        <x:v>Light transient shaping; surface EQ</x:v>
      </x:c>
      <x:c r="E5" s="13" t="str">
        <x:v>Burden changes variant weighting; Numbness dampens</x:v>
      </x:c>
      <x:c r="F5" s="13" t="str">
        <x:v>Do not make body sounds constant wallpaper.</x:v>
      </x:c>
    </x:row>
    <x:row r="6" ht="74" customHeight="1">
      <x:c r="A6" s="13" t="str">
        <x:v>SFX_Foley</x:v>
      </x:c>
      <x:c r="B6" s="13" t="str">
        <x:v>Doors, hearth, care, props</x:v>
      </x:c>
      <x:c r="C6" s="13" t="str">
        <x:v>Foreground when interacted</x:v>
      </x:c>
      <x:c r="D6" s="13" t="str">
        <x:v>Minimal compression; room-specific reverb send</x:v>
      </x:c>
      <x:c r="E6" s="13" t="str">
        <x:v>Ducked slightly by SpecialEvents</x:v>
      </x:c>
      <x:c r="F6" s="13" t="str">
        <x:v>Most tactile interactions live here.</x:v>
      </x:c>
    </x:row>
    <x:row r="7" ht="74" customHeight="1">
      <x:c r="A7" s="13" t="str">
        <x:v>UI_Diegetic</x:v>
      </x:c>
      <x:c r="B7" s="13" t="str">
        <x:v>Notebook, pouch, tincture wheel</x:v>
      </x:c>
      <x:c r="C7" s="13" t="str">
        <x:v>Clear at low volume</x:v>
      </x:c>
      <x:c r="D7" s="13" t="str">
        <x:v>Clean attack/decay; tiny room reverb</x:v>
      </x:c>
      <x:c r="E7" s="13" t="str">
        <x:v>Rarely ducked except during SpecialEvents</x:v>
      </x:c>
      <x:c r="F7" s="13" t="str">
        <x:v>Real materials, UI-readable timing.</x:v>
      </x:c>
    </x:row>
    <x:row r="8" ht="74" customHeight="1">
      <x:c r="A8" s="13" t="str">
        <x:v>Creature</x:v>
      </x:c>
      <x:c r="B8" s="13" t="str">
        <x:v>Wolves, deer, animal movement</x:v>
      </x:c>
      <x:c r="C8" s="13" t="str">
        <x:v>Event-dependent</x:v>
      </x:c>
      <x:c r="D8" s="13" t="str">
        <x:v>Distance/occlusion filters; spatial reverb</x:v>
      </x:c>
      <x:c r="E8" s="13" t="str">
        <x:v>Ducks ambient when close/critical</x:v>
      </x:c>
      <x:c r="F8" s="13" t="str">
        <x:v>Wolf through-door occlusion should be a filter/preset.</x:v>
      </x:c>
    </x:row>
    <x:row r="9" ht="74" customHeight="1">
      <x:c r="A9" s="13" t="str">
        <x:v>Combat</x:v>
      </x:c>
      <x:c r="B9" s="13" t="str">
        <x:v>Cudgel, impacts, thrown objects</x:v>
      </x:c>
      <x:c r="C9" s="13" t="str">
        <x:v>High foreground</x:v>
      </x:c>
      <x:c r="D9" s="13" t="str">
        <x:v>Transient clarity; low thump for bash only</x:v>
      </x:c>
      <x:c r="E9" s="13" t="str">
        <x:v>Can duck ambient/body briefly on impacts</x:v>
      </x:c>
      <x:c r="F9" s="13" t="str">
        <x:v>Combat is first-class but not bombastic.</x:v>
      </x:c>
    </x:row>
    <x:row r="10" ht="74" customHeight="1">
      <x:c r="A10" s="13" t="str">
        <x:v>SpecialEvents</x:v>
      </x:c>
      <x:c r="B10" s="13" t="str">
        <x:v>Anna death, first howl, bash signature, named marginalia</x:v>
      </x:c>
      <x:c r="C10" s="13" t="str">
        <x:v>Highest priority</x:v>
      </x:c>
      <x:c r="D10" s="13" t="str">
        <x:v>Case-specific, not generic chain</x:v>
      </x:c>
      <x:c r="E10" s="13" t="str">
        <x:v>Ducks score/ambience as authored; never overused</x:v>
      </x:c>
      <x:c r="F10" s="13" t="str">
        <x:v>Load-bearing events command attention briefly.</x:v>
      </x:c>
    </x:row>
    <x:row r="11" ht="74" customHeight="1">
      <x:c r="A11" s="13" t="str">
        <x:v>Score</x:v>
      </x:c>
      <x:c r="B11" s="13" t="str">
        <x:v>Music beds/stingers from composer</x:v>
      </x:c>
      <x:c r="C11" s="13" t="str">
        <x:v>Mezzo-piano default</x:v>
      </x:c>
      <x:c r="D11" s="13" t="str">
        <x:v>Composer chain</x:v>
      </x:c>
      <x:c r="E11" s="13" t="str">
        <x:v>Ducked by SpecialEvents where needed</x:v>
      </x:c>
      <x:c r="F11" s="13" t="str">
        <x:v>SFX should give the score a physical place to sit.</x:v>
      </x:c>
    </x:row>
    <x:row r="12" ht="74" customHeight="1">
      <x:c r="A12" s="13" t="str">
        <x:v>StateFX</x:v>
      </x:c>
      <x:c r="B12" s="13" t="str">
        <x:v>Pressure/Numbness/Burden filters</x:v>
      </x:c>
      <x:c r="C12" s="13" t="str">
        <x:v>Usually subliminal</x:v>
      </x:c>
      <x:c r="D12" s="13" t="str">
        <x:v>HP/LP filters, pink noise, high ring tone</x:v>
      </x:c>
      <x:c r="E12" s="13" t="str">
        <x:v>Driven by state thresholds</x:v>
      </x:c>
      <x:c r="F12" s="13" t="str">
        <x:v>Mostly automation, not conventional SFX.</x:v>
      </x:c>
    </x:row>
  </x:sheetData>
  <x:pageMargins left="0.7" right="0.7" top="0.75" bottom="0.75" header="0.3" footer="0.3"/>
  <x:tableParts count="1">
    <x:tablePart xmlns:r="http://schemas.openxmlformats.org/officeDocument/2006/relationships" r:id="R01100304dc054a17"/>
  </x:tableParts>
</x:worksheet>
</file>

<file path=xl/worksheets/sheet6.xml><?xml version="1.0" encoding="utf-8"?>
<x:worksheet xmlns:x="http://schemas.openxmlformats.org/spreadsheetml/2006/main">
  <x:sheetFormatPr defaultRowHeight="15"/>
  <x:cols>
    <x:col min="1" max="1" width="32" hidden="0" customWidth="1"/>
    <x:col min="2" max="2" width="42" hidden="0" customWidth="1"/>
    <x:col min="3" max="3" width="42" hidden="0" customWidth="1"/>
    <x:col min="4" max="4" width="20" hidden="0" customWidth="1"/>
    <x:col min="5" max="5" width="34" hidden="0" customWidth="1"/>
    <x:col min="6" max="6" width="48" hidden="0" customWidth="1"/>
  </x:cols>
  <x:sheetData>
    <x:row r="1">
      <x:c r="A1" s="43" t="str">
        <x:v>Game Event / State</x:v>
      </x:c>
      <x:c r="B1" s="43" t="str">
        <x:v>Primary Cue(s)</x:v>
      </x:c>
      <x:c r="C1" s="43" t="str">
        <x:v>Secondary / Layered Cue(s)</x:v>
      </x:c>
      <x:c r="D1" s="43" t="str">
        <x:v>Bus</x:v>
      </x:c>
      <x:c r="E1" s="43" t="str">
        <x:v>Duck / Filter</x:v>
      </x:c>
      <x:c r="F1" s="43" t="str">
        <x:v>Implementation Note</x:v>
      </x:c>
    </x:row>
    <x:row r="2" ht="68" customHeight="1">
      <x:c r="A2" s="13" t="str">
        <x:v>scene.cabin.day.enter</x:v>
      </x:c>
      <x:c r="B2" s="13" t="str">
        <x:v>AMB_INT_DAY_LOOP</x:v>
      </x:c>
      <x:c r="C2" s="13" t="str">
        <x:v>BREATH_KALEV_CALM_LOOP rare</x:v>
      </x:c>
      <x:c r="D2" s="13" t="str">
        <x:v>AMB_Interior</x:v>
      </x:c>
      <x:c r="E2" s="13" t="str">
        <x:v>None</x:v>
      </x:c>
      <x:c r="F2" s="13" t="str">
        <x:v>Start at randomized offset; ensure loop is seamless.</x:v>
      </x:c>
    </x:row>
    <x:row r="3" ht="68" customHeight="1">
      <x:c r="A3" s="13" t="str">
        <x:v>scene.cabin.dusk.enter</x:v>
      </x:c>
      <x:c r="B3" s="13" t="str">
        <x:v>AMB_INT_DUSK_LOOP</x:v>
      </x:c>
      <x:c r="C3" s="13" t="str">
        <x:v>Clock/hearth stems continue</x:v>
      </x:c>
      <x:c r="D3" s="13" t="str">
        <x:v>AMB_Interior</x:v>
      </x:c>
      <x:c r="E3" s="13" t="str">
        <x:v>Crossfade day-&gt;dusk 4-8s</x:v>
      </x:c>
      <x:c r="F3" s="13" t="str">
        <x:v>No birds; use light-state transition.</x:v>
      </x:c>
    </x:row>
    <x:row r="4" ht="68" customHeight="1">
      <x:c r="A4" s="13" t="str">
        <x:v>care.water.fetch</x:v>
      </x:c>
      <x:c r="B4" s="13" t="str">
        <x:v>WELL_PUMP_HANDLE, WELL_WATER_BUCKET_FILL, BUCKET_LIFT_SLOSH</x:v>
      </x:c>
      <x:c r="C4" s="13" t="str">
        <x:v>FOOT_KALEV_DIRT_WALK</x:v>
      </x:c>
      <x:c r="D4" s="13" t="str">
        <x:v>SFX_Foley</x:v>
      </x:c>
      <x:c r="E4" s="13" t="str">
        <x:v>Foreground work timer</x:v>
      </x:c>
      <x:c r="F4" s="13" t="str">
        <x:v>Bucket fill can loop/fade until work completes.</x:v>
      </x:c>
    </x:row>
    <x:row r="5" ht="68" customHeight="1">
      <x:c r="A5" s="13" t="str">
        <x:v>care.bread.break</x:v>
      </x:c>
      <x:c r="B5" s="13" t="str">
        <x:v>BREAD_BREAK</x:v>
      </x:c>
      <x:c r="C5" s="13" t="str">
        <x:v>BREAD_OFFER_HAND / BREAD_MOISTEN</x:v>
      </x:c>
      <x:c r="D5" s="13" t="str">
        <x:v>SFX_Foley</x:v>
      </x:c>
      <x:c r="E5" s="13" t="str">
        <x:v>None</x:v>
      </x:c>
      <x:c r="F5" s="13" t="str">
        <x:v>Act 2 ordinary mercy cue; no musical reward.</x:v>
      </x:c>
    </x:row>
    <x:row r="6" ht="68" customHeight="1">
      <x:c r="A6" s="13" t="str">
        <x:v>craft.tincture.prepare</x:v>
      </x:c>
      <x:c r="B6" s="13" t="str">
        <x:v>CRAFT_MORTAR_DRY_LEAF / ROOT</x:v>
      </x:c>
      <x:c r="C6" s="13" t="str">
        <x:v>CRAFT_WATER_FLASK, CRAFT_FLASK_SETDOWN</x:v>
      </x:c>
      <x:c r="D6" s="13" t="str">
        <x:v>SFX_Foley</x:v>
      </x:c>
      <x:c r="E6" s="13" t="str">
        <x:v>Body working breath may rise</x:v>
      </x:c>
      <x:c r="F6" s="13" t="str">
        <x:v>Drive by crafting sub-step events.</x:v>
      </x:c>
    </x:row>
    <x:row r="7" ht="68" customHeight="1">
      <x:c r="A7" s="13" t="str">
        <x:v>ui.tincture_wheel.select</x:v>
      </x:c>
      <x:c r="B7" s="13" t="str">
        <x:v>WHEEL_SELECT_INGREDIENT</x:v>
      </x:c>
      <x:c r="C7" s="13" t="str">
        <x:v>None</x:v>
      </x:c>
      <x:c r="D7" s="13" t="str">
        <x:v>UI_Diegetic</x:v>
      </x:c>
      <x:c r="E7" s="13" t="str">
        <x:v>None</x:v>
      </x:c>
      <x:c r="F7" s="13" t="str">
        <x:v>Slight randomized pitch/variant.</x:v>
      </x:c>
    </x:row>
    <x:row r="8" ht="68" customHeight="1">
      <x:c r="A8" s="13" t="str">
        <x:v>ui.tincture_wheel.commit</x:v>
      </x:c>
      <x:c r="B8" s="13" t="str">
        <x:v>WHEEL_COMMIT_CRAFT</x:v>
      </x:c>
      <x:c r="C8" s="13" t="str">
        <x:v>CRAFT_FLINT_CANDLE</x:v>
      </x:c>
      <x:c r="D8" s="13" t="str">
        <x:v>UI_Diegetic</x:v>
      </x:c>
      <x:c r="E8" s="13" t="str">
        <x:v>Ducks ambient subtly</x:v>
      </x:c>
      <x:c r="F8" s="13" t="str">
        <x:v>Signature commit action.</x:v>
      </x:c>
    </x:row>
    <x:row r="9" ht="68" customHeight="1">
      <x:c r="A9" s="13" t="str">
        <x:v>resolver.tincture.forced_miss</x:v>
      </x:c>
      <x:c r="B9" s="13" t="str">
        <x:v>WHEEL_FAILED_CRAFT_GLASS</x:v>
      </x:c>
      <x:c r="C9" s="13" t="str">
        <x:v>Pressure spike optional</x:v>
      </x:c>
      <x:c r="D9" s="13" t="str">
        <x:v>SpecialEvents</x:v>
      </x:c>
      <x:c r="E9" s="13" t="str">
        <x:v>Brief duck on UI/ambience</x:v>
      </x:c>
      <x:c r="F9" s="13" t="str">
        <x:v>Only if forced-Miss outcome lands.</x:v>
      </x:c>
    </x:row>
    <x:row r="10" ht="68" customHeight="1">
      <x:c r="A10" s="13" t="str">
        <x:v>death.mother.breath_transition</x:v>
      </x:c>
      <x:c r="B10" s="13" t="str">
        <x:v>ANNA_BREATH_RALLY_STOP</x:v>
      </x:c>
      <x:c r="C10" s="13" t="str">
        <x:v>AMB_INT_DUSK_LOOP hearth/clock continue</x:v>
      </x:c>
      <x:c r="D10" s="13" t="str">
        <x:v>SpecialEvents</x:v>
      </x:c>
      <x:c r="E10" s="13" t="str">
        <x:v>Score absent or ducked</x:v>
      </x:c>
      <x:c r="F10" s="13" t="str">
        <x:v>The final exhale leads directly to breath layer stop.</x:v>
      </x:c>
    </x:row>
    <x:row r="11" ht="68" customHeight="1">
      <x:c r="A11" s="13" t="str">
        <x:v>death.mother</x:v>
      </x:c>
      <x:c r="B11" s="13" t="str">
        <x:v>ANNA_BREATH_LAYER_STOP</x:v>
      </x:c>
      <x:c r="C11" s="13" t="str">
        <x:v>No sting; continue hearth/clock</x:v>
      </x:c>
      <x:c r="D11" s="13" t="str">
        <x:v>SpecialEvents</x:v>
      </x:c>
      <x:c r="E11" s="13" t="str">
        <x:v>No musical cue</x:v>
      </x:c>
      <x:c r="F11" s="13" t="str">
        <x:v>Absence is the sound design.</x:v>
      </x:c>
    </x:row>
    <x:row r="12" ht="68" customHeight="1">
      <x:c r="A12" s="13" t="str">
        <x:v>notebook.write_name.mother</x:v>
      </x:c>
      <x:c r="B12" s="13" t="str">
        <x:v>NOTEBOOK_ANNA_NAME_WRITE</x:v>
      </x:c>
      <x:c r="C12" s="13" t="str">
        <x:v>MARGINALIA_NAMED_EVENT bell optional if not redundant</x:v>
      </x:c>
      <x:c r="D12" s="13" t="str">
        <x:v>SpecialEvents</x:v>
      </x:c>
      <x:c r="E12" s="13" t="str">
        <x:v>Ambient stays low</x:v>
      </x:c>
      <x:c r="F12" s="13" t="str">
        <x:v>Kalev's grief is heard in the held-breath choke.</x:v>
      </x:c>
    </x:row>
    <x:row r="13" ht="68" customHeight="1">
      <x:c r="A13" s="13" t="str">
        <x:v>encounter.wolves.first_howl</x:v>
      </x:c>
      <x:c r="B13" s="13" t="str">
        <x:v>WOLF_FIRST_DISTANT_HOWL</x:v>
      </x:c>
      <x:c r="C13" s="13" t="str">
        <x:v>Ambient falls slightly afterward</x:v>
      </x:c>
      <x:c r="D13" s="13" t="str">
        <x:v>Creature</x:v>
      </x:c>
      <x:c r="E13" s="13" t="str">
        <x:v>Silence/duck around howl</x:v>
      </x:c>
      <x:c r="F13" s="13" t="str">
        <x:v>Do not add stinger. Let silence break.</x:v>
      </x:c>
    </x:row>
    <x:row r="14" ht="68" customHeight="1">
      <x:c r="A14" s="13" t="str">
        <x:v>encounter.wolves.door</x:v>
      </x:c>
      <x:c r="B14" s="13" t="str">
        <x:v>WOLF_DOOR_CLAW_SCRAPE, WOLF_DOOR_GROWL, WOLF_DOOR_SNIFF</x:v>
      </x:c>
      <x:c r="C14" s="13" t="str">
        <x:v>WOLF_PACING_YARD_LOOP</x:v>
      </x:c>
      <x:c r="D14" s="13" t="str">
        <x:v>Creature</x:v>
      </x:c>
      <x:c r="E14" s="13" t="str">
        <x:v>Door occlusion filter</x:v>
      </x:c>
      <x:c r="F14" s="13" t="str">
        <x:v>Randomized spacing; build tension by restraint.</x:v>
      </x:c>
    </x:row>
    <x:row r="15" ht="68" customHeight="1">
      <x:c r="A15" s="13" t="str">
        <x:v>combat.wolf.attack.resolve</x:v>
      </x:c>
      <x:c r="B15" s="13" t="str">
        <x:v>WOLF_LUNGE_SNARL, WOLF_JAW_SNAP</x:v>
      </x:c>
      <x:c r="C15" s="13" t="str">
        <x:v>CUDGEL_* if response</x:v>
      </x:c>
      <x:c r="D15" s="13" t="str">
        <x:v>Creature/Combat</x:v>
      </x:c>
      <x:c r="E15" s="13" t="str">
        <x:v>Impact duck 150-300ms</x:v>
      </x:c>
      <x:c r="F15" s="13" t="str">
        <x:v>All combat cue selection follows resolver outcome.</x:v>
      </x:c>
    </x:row>
    <x:row r="16" ht="68" customHeight="1">
      <x:c r="A16" s="13" t="str">
        <x:v>ability.bash.taunt</x:v>
      </x:c>
      <x:c r="B16" s="13" t="str">
        <x:v>BASH_TAUNT_SIGNATURE</x:v>
      </x:c>
      <x:c r="C16" s="13" t="str">
        <x:v>Threat table state change</x:v>
      </x:c>
      <x:c r="D16" s="13" t="str">
        <x:v>SpecialEvents</x:v>
      </x:c>
      <x:c r="E16" s="13" t="str">
        <x:v>Foreground; duck ambient/creature briefly</x:v>
      </x:c>
      <x:c r="F16" s="13" t="str">
        <x:v>Distinct cue teaches threat-pull.</x:v>
      </x:c>
    </x:row>
    <x:row r="17" ht="68" customHeight="1">
      <x:c r="A17" s="13" t="str">
        <x:v>route.boy.advance</x:v>
      </x:c>
      <x:c r="B17" s="13" t="str">
        <x:v>IIRO_RUN_DIRT_LEAVES</x:v>
      </x:c>
      <x:c r="C17" s="13" t="str">
        <x:v>DOOR_BACK_CLOSE, IIRO_BRANCHES_WOODLINE</x:v>
      </x:c>
      <x:c r="D17" s="13" t="str">
        <x:v>SFX_Foley</x:v>
      </x:c>
      <x:c r="E17" s="13" t="str">
        <x:v>Creature may remain foreground</x:v>
      </x:c>
      <x:c r="F17" s="13" t="str">
        <x:v>Cue must reassure player that boy is moving.</x:v>
      </x:c>
    </x:row>
    <x:row r="18" ht="68" customHeight="1">
      <x:c r="A18" s="13" t="str">
        <x:v>route.boy.safe_distance</x:v>
      </x:c>
      <x:c r="B18" s="13" t="str">
        <x:v>IIRO_DISTANT_CRY</x:v>
      </x:c>
      <x:c r="C18" s="13" t="str">
        <x:v>Forest branches recede</x:v>
      </x:c>
      <x:c r="D18" s="13" t="str">
        <x:v>SpecialEvents</x:v>
      </x:c>
      <x:c r="E18" s="13" t="str">
        <x:v>No pain implication</x:v>
      </x:c>
      <x:c r="F18" s="13" t="str">
        <x:v>Fear, not injury.</x:v>
      </x:c>
    </x:row>
    <x:row r="19" ht="68" customHeight="1">
      <x:c r="A19" s="13" t="str">
        <x:v>encounter.wolves.resolved</x:v>
      </x:c>
      <x:c r="B19" s="13" t="str">
        <x:v>WOLF_RETREAT_PANT, WOLF_RETREAT_CLAWS_RECEDING</x:v>
      </x:c>
      <x:c r="C19" s="13" t="str">
        <x:v>WOLF_FINAL_FRUSTRATED_HOWL optional</x:v>
      </x:c>
      <x:c r="D19" s="13" t="str">
        <x:v>Creature/AMB_Exterior</x:v>
      </x:c>
      <x:c r="E19" s="13" t="str">
        <x:v>Fade creature; restore dusk ambient after silence beat</x:v>
      </x:c>
      <x:c r="F19" s="13" t="str">
        <x:v>Objective is safety, not kill count.</x:v>
      </x:c>
    </x:row>
    <x:row r="20" ht="68" customHeight="1">
      <x:c r="A20" s="13" t="str">
        <x:v>state.pressure.spike</x:v>
      </x:c>
      <x:c r="B20" s="13" t="str">
        <x:v>STATE_PRESSURE_SPIKE</x:v>
      </x:c>
      <x:c r="C20" s="13" t="str">
        <x:v>Single Kalev inhale</x:v>
      </x:c>
      <x:c r="D20" s="13" t="str">
        <x:v>StateFX</x:v>
      </x:c>
      <x:c r="E20" s="13" t="str">
        <x:v>Ambient bass drops 2-3s</x:v>
      </x:c>
      <x:c r="F20" s="13" t="str">
        <x:v>Use sparingly: Anna death, first howl/wolf door.</x:v>
      </x:c>
    </x:row>
    <x:row r="21" ht="68" customHeight="1">
      <x:c r="A21" s="13" t="str">
        <x:v>state.numbness.threshold</x:v>
      </x:c>
      <x:c r="B21" s="13" t="str">
        <x:v>STATE_NUMBNESS_ONSET</x:v>
      </x:c>
      <x:c r="C21" s="13" t="str">
        <x:v>No one-shot</x:v>
      </x:c>
      <x:c r="D21" s="13" t="str">
        <x:v>StateFX</x:v>
      </x:c>
      <x:c r="E21" s="13" t="str">
        <x:v>-6 dB ambient, mild low-pass, pink wash</x:v>
      </x:c>
      <x:c r="F21" s="13" t="str">
        <x:v>Automation driven by Numbness value.</x:v>
      </x:c>
    </x:row>
  </x:sheetData>
  <x:pageMargins left="0.7" right="0.7" top="0.75" bottom="0.75" header="0.3" footer="0.3"/>
  <x:tableParts count="1">
    <x:tablePart xmlns:r="http://schemas.openxmlformats.org/officeDocument/2006/relationships" r:id="R16e237197b194662"/>
  </x:tableParts>
</x:worksheet>
</file>

<file path=xl/worksheets/sheet7.xml><?xml version="1.0" encoding="utf-8"?>
<x:worksheet xmlns:x="http://schemas.openxmlformats.org/spreadsheetml/2006/main">
  <x:sheetFormatPr defaultRowHeight="15"/>
  <x:cols>
    <x:col min="1" max="1" width="10" hidden="0" customWidth="1"/>
    <x:col min="2" max="2" width="28" hidden="0" customWidth="1"/>
    <x:col min="3" max="3" width="48" hidden="0" customWidth="1"/>
    <x:col min="4" max="4" width="70" hidden="0" customWidth="1"/>
    <x:col min="5" max="5" width="48" hidden="0" customWidth="1"/>
  </x:cols>
  <x:sheetData>
    <x:row r="1">
      <x:c r="A1" s="51" t="str">
        <x:v>Batch</x:v>
      </x:c>
      <x:c r="B1" s="51" t="str">
        <x:v>Goal</x:v>
      </x:c>
      <x:c r="C1" s="51" t="str">
        <x:v>Assets</x:v>
      </x:c>
      <x:c r="D1" s="51" t="str">
        <x:v>Prompting / Production Instruction</x:v>
      </x:c>
      <x:c r="E1" s="51" t="str">
        <x:v>Acceptance Check</x:v>
      </x:c>
    </x:row>
    <x:row r="2" ht="90" customHeight="1">
      <x:c r="A2" s="13" t="n">
        <x:v>1</x:v>
      </x:c>
      <x:c r="B2" s="13" t="str">
        <x:v>Ambient foundations</x:v>
      </x:c>
      <x:c r="C2" s="13" t="str">
        <x:v>AMB_INT_DAY_LOOP, AMB_INT_DUSK_LOOP, AMB_EXT_YARD_DAY_LOOP, AMB_EXT_YARD_DUSK_LOOP, AMB_FOREST_EDGE_LOOP</x:v>
      </x:c>
      <x:c r="D2" s="13" t="str">
        <x:v>Generate loop candidates first. Prefer separate stems if tool supports it. Check for music, human voices, tonal stings, and obvious loop seams. Keep each bed quiet and cold.</x:v>
      </x:c>
      <x:c r="E2" s="13" t="str">
        <x:v>Loops seamlessly; no music/voices; hearth/clock/wind readable at low volume; no events steal focus.</x:v>
      </x:c>
    </x:row>
    <x:row r="3" ht="90" customHeight="1">
      <x:c r="A3" s="13" t="n">
        <x:v>2</x:v>
      </x:c>
      <x:c r="B3" s="13" t="str">
        <x:v>Load-bearing real foley</x:v>
      </x:c>
      <x:c r="C3" s="13" t="str">
        <x:v>FOOT_KALEV_*, BODY_KALEV_CLOTH, BREATH_KALEV_*, NOTEBOOK_*, CARE_*</x:v>
      </x:c>
      <x:c r="D3" s="13" t="str">
        <x:v>Record these before filling optional generated material. Use actual props and quiet room. Capture more variations than needed and choose restrained takes.</x:v>
      </x:c>
      <x:c r="E3" s="13" t="str">
        <x:v>No fatigue after 5 minutes of random playback; sounds close, tactile, and not performed.</x:v>
      </x:c>
    </x:row>
    <x:row r="4" ht="90" customHeight="1">
      <x:c r="A4" s="13" t="n">
        <x:v>3</x:v>
      </x:c>
      <x:c r="B4" s="13" t="str">
        <x:v>Crafting palette</x:v>
      </x:c>
      <x:c r="C4" s="13" t="str">
        <x:v>CRAFT_*, WHEEL_*</x:v>
      </x:c>
      <x:c r="D4" s="13" t="str">
        <x:v>Build material identity: ceramic, glass, water, cork, wood, flint, breath. UI clarity comes from attack/decay, not electronic beeps.</x:v>
      </x:c>
      <x:c r="E4" s="13" t="str">
        <x:v>Player can distinguish select/confirm/commit and craft materials by ear.</x:v>
      </x:c>
    </x:row>
    <x:row r="5" ht="90" customHeight="1">
      <x:c r="A5" s="13" t="n">
        <x:v>4</x:v>
      </x:c>
      <x:c r="B5" s="13" t="str">
        <x:v>Act 4 gravity encounter</x:v>
      </x:c>
      <x:c r="C5" s="13" t="str">
        <x:v>ANNA_BREATH_*, NOTEBOOK_ANNA_NAME_WRITE, STATE_PRESSURE_SPIKE</x:v>
      </x:c>
      <x:c r="D5" s="13" t="str">
        <x:v>Author around absence. The breath transition is a performance/editing pass; the cessation is a mix decision. Never add a dramatic sting.</x:v>
      </x:c>
      <x:c r="E5" s="13" t="str">
        <x:v>When breath stops, hearth and clock continue; the missing breath is felt within several seconds.</x:v>
      </x:c>
    </x:row>
    <x:row r="6" ht="90" customHeight="1">
      <x:c r="A6" s="13" t="n">
        <x:v>5</x:v>
      </x:c>
      <x:c r="B6" s="13" t="str">
        <x:v>Wolves and combat</x:v>
      </x:c>
      <x:c r="C6" s="13" t="str">
        <x:v>WOLF_*, CUDGEL_*, BASH_*, IIRO_*</x:v>
      </x:c>
      <x:c r="D6" s="13" t="str">
        <x:v>Use real wolf sources where possible. Combat is close and dangerous but not cinematic bombast. The boy route cues must stay readable through the fight.</x:v>
      </x:c>
      <x:c r="E6" s="13" t="str">
        <x:v>Player understands: wolves are close, Kalev can draw threat, boy is fleeing, encounter resolves by safety.</x:v>
      </x:c>
    </x:row>
    <x:row r="7" ht="90" customHeight="1">
      <x:c r="A7" s="13" t="n">
        <x:v>6</x:v>
      </x:c>
      <x:c r="B7" s="13" t="str">
        <x:v>Body-state automation</x:v>
      </x:c>
      <x:c r="C7" s="13" t="str">
        <x:v>STATE_*</x:v>
      </x:c>
      <x:c r="D7" s="13" t="str">
        <x:v>Implement as bus and filter automation. Burden changes samples; Pressure adds brief ringing/bass drop; Numbness removes presence.</x:v>
      </x:c>
      <x:c r="E7" s="13" t="str">
        <x:v>State changes are felt, not announced.</x:v>
      </x:c>
    </x:row>
  </x:sheetData>
  <x:pageMargins left="0.7" right="0.7" top="0.75" bottom="0.75" header="0.3" footer="0.3"/>
  <x:tableParts count="1">
    <x:tablePart xmlns:r="http://schemas.openxmlformats.org/officeDocument/2006/relationships" r:id="Ra677249c069a4bc0"/>
  </x:tableParts>
</x:worksheet>
</file>

<file path=xl/worksheets/sheet8.xml><?xml version="1.0" encoding="utf-8"?>
<x:worksheet xmlns:x="http://schemas.openxmlformats.org/spreadsheetml/2006/main">
  <x:sheetFormatPr defaultRowHeight="15"/>
  <x:cols>
    <x:col min="1" max="1" width="18" hidden="0" customWidth="1"/>
    <x:col min="2" max="2" width="12" hidden="0" customWidth="1"/>
    <x:col min="3" max="3" width="22" hidden="0" customWidth="1"/>
    <x:col min="4" max="4" width="28" hidden="0" customWidth="1"/>
  </x:cols>
  <x:sheetData>
    <x:row r="1">
      <x:c r="A1" s="57" t="str">
        <x:v>Status</x:v>
      </x:c>
      <x:c r="B1" s="57" t="str">
        <x:v>Priority</x:v>
      </x:c>
      <x:c r="C1" s="57" t="str">
        <x:v>Bus</x:v>
      </x:c>
      <x:c r="D1" s="57" t="str">
        <x:v>Method</x:v>
      </x:c>
    </x:row>
    <x:row r="2">
      <x:c r="A2" t="str">
        <x:v>Not started</x:v>
      </x:c>
      <x:c r="B2" t="str">
        <x:v>P0</x:v>
      </x:c>
      <x:c r="C2" t="str">
        <x:v>Master</x:v>
      </x:c>
      <x:c r="D2" t="str">
        <x:v>Generate + mix stems</x:v>
      </x:c>
    </x:row>
    <x:row r="3">
      <x:c r="A3" t="str">
        <x:v>Prompt ready</x:v>
      </x:c>
      <x:c r="B3" t="str">
        <x:v>P1</x:v>
      </x:c>
      <x:c r="C3" t="str">
        <x:v>AMB_Interior</x:v>
      </x:c>
      <x:c r="D3" t="str">
        <x:v>Generate + layer</x:v>
      </x:c>
    </x:row>
    <x:row r="4">
      <x:c r="A4" t="str">
        <x:v>Generated</x:v>
      </x:c>
      <x:c r="B4" t="str">
        <x:v>P2</x:v>
      </x:c>
      <x:c r="C4" t="str">
        <x:v>AMB_Exterior</x:v>
      </x:c>
      <x:c r="D4" t="str">
        <x:v>Generate or record</x:v>
      </x:c>
    </x:row>
    <x:row r="5">
      <x:c r="A5" t="str">
        <x:v>Recorded</x:v>
      </x:c>
      <x:c r="B5" t="str"/>
      <x:c r="C5" t="str">
        <x:v>SFX_Body</x:v>
      </x:c>
      <x:c r="D5" t="str">
        <x:v>Record real foley</x:v>
      </x:c>
    </x:row>
    <x:row r="6">
      <x:c r="A6" t="str">
        <x:v>Edited</x:v>
      </x:c>
      <x:c r="B6" t="str"/>
      <x:c r="C6" t="str">
        <x:v>SFX_Foley</x:v>
      </x:c>
      <x:c r="D6" t="str">
        <x:v>Record variations</x:v>
      </x:c>
    </x:row>
    <x:row r="7">
      <x:c r="A7" t="str">
        <x:v>Implemented</x:v>
      </x:c>
      <x:c r="B7" t="str"/>
      <x:c r="C7" t="str">
        <x:v>UI_Diegetic</x:v>
      </x:c>
      <x:c r="D7" t="str">
        <x:v>Record + layer</x:v>
      </x:c>
    </x:row>
    <x:row r="8">
      <x:c r="A8" t="str">
        <x:v>Verified</x:v>
      </x:c>
      <x:c r="B8" t="str"/>
      <x:c r="C8" t="str">
        <x:v>Creature</x:v>
      </x:c>
      <x:c r="D8" t="str">
        <x:v>Hybrid generate+foley</x:v>
      </x:c>
    </x:row>
    <x:row r="9">
      <x:c r="A9" t="str">
        <x:v>Needs redo</x:v>
      </x:c>
      <x:c r="B9" t="str"/>
      <x:c r="C9" t="str">
        <x:v>Combat</x:v>
      </x:c>
      <x:c r="D9" t="str">
        <x:v>Source library</x:v>
      </x:c>
    </x:row>
    <x:row r="10">
      <x:c r="A10" t="str"/>
      <x:c r="B10" t="str"/>
      <x:c r="C10" t="str">
        <x:v>SpecialEvents</x:v>
      </x:c>
      <x:c r="D10" t="str">
        <x:v>Source/generate</x:v>
      </x:c>
    </x:row>
    <x:row r="11">
      <x:c r="A11" t="str"/>
      <x:c r="B11" t="str"/>
      <x:c r="C11" t="str">
        <x:v>Score</x:v>
      </x:c>
      <x:c r="D11" t="str">
        <x:v>Mix automation</x:v>
      </x:c>
    </x:row>
    <x:row r="12">
      <x:c r="A12" t="str"/>
      <x:c r="B12" t="str"/>
      <x:c r="C12" t="str">
        <x:v>StateFX</x:v>
      </x:c>
      <x:c r="D12" t="str">
        <x:v>Use existing care assets</x:v>
      </x:c>
    </x:row>
    <x:row r="13">
      <x:c r="A13" t="str"/>
      <x:c r="B13" t="str"/>
      <x:c r="C13" t="str"/>
      <x:c r="D13" t="str">
        <x:v>Foley + layer</x:v>
      </x:c>
    </x:row>
    <x:row r="14">
      <x:c r="A14" t="str"/>
      <x:c r="B14" t="str"/>
      <x:c r="C14" t="str"/>
      <x:c r="D14" t="str">
        <x:v>Foley + library</x:v>
      </x:c>
    </x:row>
    <x:row r="15">
      <x:c r="A15" t="str"/>
      <x:c r="B15" t="str"/>
      <x:c r="C15" t="str"/>
      <x:c r="D15" t="str">
        <x:v>Foley + generate</x:v>
      </x:c>
    </x:row>
    <x:row r="16">
      <x:c r="A16" t="str"/>
      <x:c r="B16" t="str"/>
      <x:c r="C16" t="str"/>
      <x:c r="D16" t="str">
        <x:v>Source/record + DAW</x:v>
      </x:c>
    </x:row>
    <x:row r="17">
      <x:c r="A17" t="str"/>
      <x:c r="B17" t="str"/>
      <x:c r="C17" t="str"/>
      <x:c r="D17" t="str">
        <x:v>Source/library + mix</x:v>
      </x:c>
    </x:row>
  </x:sheetData>
  <x:pageMargins left="0.7" right="0.7" top="0.75" bottom="0.75" header="0.3" footer="0.3"/>
</x:worksheet>
</file>